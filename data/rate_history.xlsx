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4f95b4d16a5700/Desktop/고운_바이브코딩/"/>
    </mc:Choice>
  </mc:AlternateContent>
  <xr:revisionPtr revIDLastSave="0" documentId="8_{B6128607-2706-42ED-AE17-9D5328FB5FFA}" xr6:coauthVersionLast="47" xr6:coauthVersionMax="47" xr10:uidLastSave="{00000000-0000-0000-0000-000000000000}"/>
  <bookViews>
    <workbookView xWindow="-98" yWindow="-98" windowWidth="21795" windowHeight="12975" activeTab="1" xr2:uid="{F9A2CA64-F61A-42E6-B5D9-C01DD6503F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1" i="1" l="1"/>
  <c r="E211" i="1"/>
  <c r="D211" i="1"/>
  <c r="C211" i="1"/>
  <c r="B211" i="1"/>
  <c r="G211" i="1" s="1"/>
  <c r="F210" i="1"/>
  <c r="E210" i="1"/>
  <c r="D210" i="1"/>
  <c r="C210" i="1"/>
  <c r="B210" i="1"/>
  <c r="G210" i="1" s="1"/>
  <c r="F209" i="1"/>
  <c r="E209" i="1"/>
  <c r="D209" i="1"/>
  <c r="C209" i="1"/>
  <c r="B209" i="1"/>
  <c r="G209" i="1" s="1"/>
  <c r="F208" i="1"/>
  <c r="E208" i="1"/>
  <c r="D208" i="1"/>
  <c r="C208" i="1"/>
  <c r="B208" i="1"/>
  <c r="G208" i="1" s="1"/>
  <c r="F207" i="1"/>
  <c r="E207" i="1"/>
  <c r="D207" i="1"/>
  <c r="C207" i="1"/>
  <c r="B207" i="1"/>
  <c r="G207" i="1" s="1"/>
  <c r="F206" i="1"/>
  <c r="E206" i="1"/>
  <c r="D206" i="1"/>
  <c r="C206" i="1"/>
  <c r="B206" i="1"/>
  <c r="G206" i="1" s="1"/>
  <c r="J206" i="1" s="1"/>
  <c r="F205" i="1"/>
  <c r="E205" i="1"/>
  <c r="D205" i="1"/>
  <c r="C205" i="1"/>
  <c r="B205" i="1"/>
  <c r="G205" i="1" s="1"/>
  <c r="J205" i="1" s="1"/>
  <c r="F204" i="1"/>
  <c r="E204" i="1"/>
  <c r="D204" i="1"/>
  <c r="C204" i="1"/>
  <c r="B204" i="1"/>
  <c r="G204" i="1" s="1"/>
  <c r="J204" i="1" s="1"/>
  <c r="F203" i="1"/>
  <c r="E203" i="1"/>
  <c r="D203" i="1"/>
  <c r="C203" i="1"/>
  <c r="B203" i="1"/>
  <c r="G203" i="1" s="1"/>
  <c r="J203" i="1" s="1"/>
  <c r="G202" i="1"/>
  <c r="J202" i="1" s="1"/>
  <c r="F202" i="1"/>
  <c r="E202" i="1"/>
  <c r="D202" i="1"/>
  <c r="C202" i="1"/>
  <c r="B202" i="1"/>
  <c r="F201" i="1"/>
  <c r="E201" i="1"/>
  <c r="D201" i="1"/>
  <c r="C201" i="1"/>
  <c r="B201" i="1"/>
  <c r="G201" i="1" s="1"/>
  <c r="J201" i="1" s="1"/>
  <c r="F200" i="1"/>
  <c r="E200" i="1"/>
  <c r="D200" i="1"/>
  <c r="C200" i="1"/>
  <c r="B200" i="1"/>
  <c r="G200" i="1" s="1"/>
  <c r="J200" i="1" s="1"/>
  <c r="F199" i="1"/>
  <c r="E199" i="1"/>
  <c r="D199" i="1"/>
  <c r="C199" i="1"/>
  <c r="B199" i="1"/>
  <c r="G199" i="1" s="1"/>
  <c r="J199" i="1" s="1"/>
  <c r="J198" i="1"/>
  <c r="G197" i="1"/>
  <c r="F197" i="1"/>
  <c r="E197" i="1"/>
  <c r="D197" i="1"/>
  <c r="C197" i="1"/>
  <c r="B197" i="1"/>
  <c r="J197" i="1" s="1"/>
  <c r="J196" i="1"/>
  <c r="J195" i="1"/>
  <c r="J194" i="1"/>
  <c r="F193" i="1"/>
  <c r="E193" i="1"/>
  <c r="D193" i="1"/>
  <c r="C193" i="1"/>
  <c r="B193" i="1"/>
  <c r="J193" i="1" s="1"/>
  <c r="F192" i="1"/>
  <c r="E192" i="1"/>
  <c r="D192" i="1"/>
  <c r="C192" i="1"/>
  <c r="B192" i="1"/>
  <c r="J192" i="1" s="1"/>
  <c r="J191" i="1"/>
  <c r="G191" i="1"/>
  <c r="F191" i="1"/>
  <c r="E191" i="1"/>
  <c r="D191" i="1"/>
  <c r="C191" i="1"/>
  <c r="B191" i="1"/>
  <c r="F190" i="1"/>
  <c r="E190" i="1"/>
  <c r="D190" i="1"/>
  <c r="C190" i="1"/>
  <c r="B190" i="1"/>
  <c r="G190" i="1" s="1"/>
  <c r="F189" i="1"/>
  <c r="E189" i="1"/>
  <c r="D189" i="1"/>
  <c r="C189" i="1"/>
  <c r="B189" i="1"/>
  <c r="J189" i="1" s="1"/>
  <c r="F188" i="1"/>
  <c r="E188" i="1"/>
  <c r="D188" i="1"/>
  <c r="C188" i="1"/>
  <c r="B188" i="1"/>
  <c r="J188" i="1" s="1"/>
  <c r="F187" i="1"/>
  <c r="E187" i="1"/>
  <c r="D187" i="1"/>
  <c r="C187" i="1"/>
  <c r="B187" i="1"/>
  <c r="J187" i="1" s="1"/>
  <c r="F186" i="1"/>
  <c r="E186" i="1"/>
  <c r="D186" i="1"/>
  <c r="C186" i="1"/>
  <c r="B186" i="1"/>
  <c r="J186" i="1" s="1"/>
  <c r="F185" i="1"/>
  <c r="E185" i="1"/>
  <c r="D185" i="1"/>
  <c r="C185" i="1"/>
  <c r="B185" i="1"/>
  <c r="G185" i="1" s="1"/>
  <c r="F184" i="1"/>
  <c r="E184" i="1"/>
  <c r="D184" i="1"/>
  <c r="C184" i="1"/>
  <c r="B184" i="1"/>
  <c r="J184" i="1" s="1"/>
  <c r="F183" i="1"/>
  <c r="E183" i="1"/>
  <c r="D183" i="1"/>
  <c r="C183" i="1"/>
  <c r="B183" i="1"/>
  <c r="G183" i="1" s="1"/>
  <c r="J182" i="1"/>
  <c r="G182" i="1"/>
  <c r="F182" i="1"/>
  <c r="E182" i="1"/>
  <c r="D182" i="1"/>
  <c r="C182" i="1"/>
  <c r="B182" i="1"/>
  <c r="F181" i="1"/>
  <c r="E181" i="1"/>
  <c r="D181" i="1"/>
  <c r="C181" i="1"/>
  <c r="B181" i="1"/>
  <c r="G181" i="1" s="1"/>
  <c r="J180" i="1"/>
  <c r="G180" i="1"/>
  <c r="F180" i="1"/>
  <c r="E180" i="1"/>
  <c r="D180" i="1"/>
  <c r="C180" i="1"/>
  <c r="B180" i="1"/>
  <c r="F179" i="1"/>
  <c r="E179" i="1"/>
  <c r="D179" i="1"/>
  <c r="C179" i="1"/>
  <c r="B179" i="1"/>
  <c r="J179" i="1" s="1"/>
  <c r="F178" i="1"/>
  <c r="E178" i="1"/>
  <c r="D178" i="1"/>
  <c r="C178" i="1"/>
  <c r="B178" i="1"/>
  <c r="J178" i="1" s="1"/>
  <c r="F177" i="1"/>
  <c r="E177" i="1"/>
  <c r="D177" i="1"/>
  <c r="C177" i="1"/>
  <c r="B177" i="1"/>
  <c r="J177" i="1" s="1"/>
  <c r="F176" i="1"/>
  <c r="E176" i="1"/>
  <c r="D176" i="1"/>
  <c r="C176" i="1"/>
  <c r="B176" i="1"/>
  <c r="J176" i="1" s="1"/>
  <c r="F175" i="1"/>
  <c r="E175" i="1"/>
  <c r="D175" i="1"/>
  <c r="C175" i="1"/>
  <c r="B175" i="1"/>
  <c r="G175" i="1" s="1"/>
  <c r="F174" i="1"/>
  <c r="E174" i="1"/>
  <c r="D174" i="1"/>
  <c r="C174" i="1"/>
  <c r="B174" i="1"/>
  <c r="J174" i="1" s="1"/>
  <c r="F173" i="1"/>
  <c r="E173" i="1"/>
  <c r="D173" i="1"/>
  <c r="C173" i="1"/>
  <c r="B173" i="1"/>
  <c r="J173" i="1" s="1"/>
  <c r="F172" i="1"/>
  <c r="E172" i="1"/>
  <c r="D172" i="1"/>
  <c r="C172" i="1"/>
  <c r="B172" i="1"/>
  <c r="J172" i="1" s="1"/>
  <c r="J171" i="1"/>
  <c r="F171" i="1"/>
  <c r="E171" i="1"/>
  <c r="D171" i="1"/>
  <c r="C171" i="1"/>
  <c r="B171" i="1"/>
  <c r="G171" i="1" s="1"/>
  <c r="F170" i="1"/>
  <c r="E170" i="1"/>
  <c r="D170" i="1"/>
  <c r="C170" i="1"/>
  <c r="B170" i="1"/>
  <c r="J170" i="1" s="1"/>
  <c r="F169" i="1"/>
  <c r="E169" i="1"/>
  <c r="D169" i="1"/>
  <c r="C169" i="1"/>
  <c r="B169" i="1"/>
  <c r="G169" i="1" s="1"/>
  <c r="F168" i="1"/>
  <c r="E168" i="1"/>
  <c r="D168" i="1"/>
  <c r="C168" i="1"/>
  <c r="B168" i="1"/>
  <c r="J168" i="1" s="1"/>
  <c r="F167" i="1"/>
  <c r="E167" i="1"/>
  <c r="D167" i="1"/>
  <c r="C167" i="1"/>
  <c r="B167" i="1"/>
  <c r="G167" i="1" s="1"/>
  <c r="J166" i="1"/>
  <c r="G166" i="1"/>
  <c r="F166" i="1"/>
  <c r="E166" i="1"/>
  <c r="D166" i="1"/>
  <c r="C166" i="1"/>
  <c r="B166" i="1"/>
  <c r="F165" i="1"/>
  <c r="E165" i="1"/>
  <c r="D165" i="1"/>
  <c r="C165" i="1"/>
  <c r="B165" i="1"/>
  <c r="G165" i="1" s="1"/>
  <c r="F164" i="1"/>
  <c r="E164" i="1"/>
  <c r="D164" i="1"/>
  <c r="C164" i="1"/>
  <c r="B164" i="1"/>
  <c r="J164" i="1" s="1"/>
  <c r="F163" i="1"/>
  <c r="E163" i="1"/>
  <c r="D163" i="1"/>
  <c r="C163" i="1"/>
  <c r="B163" i="1"/>
  <c r="J163" i="1" s="1"/>
  <c r="F162" i="1"/>
  <c r="E162" i="1"/>
  <c r="D162" i="1"/>
  <c r="C162" i="1"/>
  <c r="B162" i="1"/>
  <c r="J162" i="1" s="1"/>
  <c r="F161" i="1"/>
  <c r="E161" i="1"/>
  <c r="D161" i="1"/>
  <c r="C161" i="1"/>
  <c r="B161" i="1"/>
  <c r="J161" i="1" s="1"/>
  <c r="F160" i="1"/>
  <c r="E160" i="1"/>
  <c r="D160" i="1"/>
  <c r="C160" i="1"/>
  <c r="B160" i="1"/>
  <c r="G160" i="1" s="1"/>
  <c r="F159" i="1"/>
  <c r="E159" i="1"/>
  <c r="D159" i="1"/>
  <c r="C159" i="1"/>
  <c r="B159" i="1"/>
  <c r="J159" i="1" s="1"/>
  <c r="F158" i="1"/>
  <c r="E158" i="1"/>
  <c r="D158" i="1"/>
  <c r="C158" i="1"/>
  <c r="B158" i="1"/>
  <c r="J158" i="1" s="1"/>
  <c r="J157" i="1"/>
  <c r="F157" i="1"/>
  <c r="E157" i="1"/>
  <c r="D157" i="1"/>
  <c r="C157" i="1"/>
  <c r="B157" i="1"/>
  <c r="G157" i="1" s="1"/>
  <c r="F156" i="1"/>
  <c r="E156" i="1"/>
  <c r="D156" i="1"/>
  <c r="C156" i="1"/>
  <c r="B156" i="1"/>
  <c r="J156" i="1" s="1"/>
  <c r="J155" i="1"/>
  <c r="G155" i="1"/>
  <c r="F155" i="1"/>
  <c r="E155" i="1"/>
  <c r="D155" i="1"/>
  <c r="C155" i="1"/>
  <c r="B155" i="1"/>
  <c r="F154" i="1"/>
  <c r="E154" i="1"/>
  <c r="D154" i="1"/>
  <c r="C154" i="1"/>
  <c r="B154" i="1"/>
  <c r="J154" i="1" s="1"/>
  <c r="F153" i="1"/>
  <c r="E153" i="1"/>
  <c r="D153" i="1"/>
  <c r="C153" i="1"/>
  <c r="B153" i="1"/>
  <c r="G153" i="1" s="1"/>
  <c r="F152" i="1"/>
  <c r="E152" i="1"/>
  <c r="D152" i="1"/>
  <c r="C152" i="1"/>
  <c r="B152" i="1"/>
  <c r="J152" i="1" s="1"/>
  <c r="F151" i="1"/>
  <c r="E151" i="1"/>
  <c r="D151" i="1"/>
  <c r="C151" i="1"/>
  <c r="B151" i="1"/>
  <c r="G151" i="1" s="1"/>
  <c r="F150" i="1"/>
  <c r="E150" i="1"/>
  <c r="D150" i="1"/>
  <c r="C150" i="1"/>
  <c r="B150" i="1"/>
  <c r="J150" i="1" s="1"/>
  <c r="F149" i="1"/>
  <c r="E149" i="1"/>
  <c r="D149" i="1"/>
  <c r="C149" i="1"/>
  <c r="B149" i="1"/>
  <c r="G149" i="1" s="1"/>
  <c r="F148" i="1"/>
  <c r="E148" i="1"/>
  <c r="D148" i="1"/>
  <c r="C148" i="1"/>
  <c r="B148" i="1"/>
  <c r="J148" i="1" s="1"/>
  <c r="F147" i="1"/>
  <c r="E147" i="1"/>
  <c r="D147" i="1"/>
  <c r="C147" i="1"/>
  <c r="B147" i="1"/>
  <c r="J147" i="1" s="1"/>
  <c r="J146" i="1"/>
  <c r="G146" i="1"/>
  <c r="F146" i="1"/>
  <c r="E146" i="1"/>
  <c r="D146" i="1"/>
  <c r="C146" i="1"/>
  <c r="B146" i="1"/>
  <c r="F145" i="1"/>
  <c r="E145" i="1"/>
  <c r="D145" i="1"/>
  <c r="C145" i="1"/>
  <c r="B145" i="1"/>
  <c r="J145" i="1" s="1"/>
  <c r="F144" i="1"/>
  <c r="E144" i="1"/>
  <c r="D144" i="1"/>
  <c r="C144" i="1"/>
  <c r="B144" i="1"/>
  <c r="J144" i="1" s="1"/>
  <c r="J143" i="1"/>
  <c r="F143" i="1"/>
  <c r="E143" i="1"/>
  <c r="D143" i="1"/>
  <c r="C143" i="1"/>
  <c r="B143" i="1"/>
  <c r="G143" i="1" s="1"/>
  <c r="F142" i="1"/>
  <c r="E142" i="1"/>
  <c r="D142" i="1"/>
  <c r="C142" i="1"/>
  <c r="B142" i="1"/>
  <c r="G142" i="1" s="1"/>
  <c r="J141" i="1"/>
  <c r="G141" i="1"/>
  <c r="F141" i="1"/>
  <c r="E141" i="1"/>
  <c r="D141" i="1"/>
  <c r="C141" i="1"/>
  <c r="B141" i="1"/>
  <c r="F140" i="1"/>
  <c r="E140" i="1"/>
  <c r="D140" i="1"/>
  <c r="C140" i="1"/>
  <c r="B140" i="1"/>
  <c r="J140" i="1" s="1"/>
  <c r="F139" i="1"/>
  <c r="E139" i="1"/>
  <c r="D139" i="1"/>
  <c r="C139" i="1"/>
  <c r="B139" i="1"/>
  <c r="G139" i="1" s="1"/>
  <c r="F138" i="1"/>
  <c r="E138" i="1"/>
  <c r="D138" i="1"/>
  <c r="C138" i="1"/>
  <c r="B138" i="1"/>
  <c r="J138" i="1" s="1"/>
  <c r="F137" i="1"/>
  <c r="E137" i="1"/>
  <c r="D137" i="1"/>
  <c r="C137" i="1"/>
  <c r="B137" i="1"/>
  <c r="G137" i="1" s="1"/>
  <c r="F136" i="1"/>
  <c r="E136" i="1"/>
  <c r="D136" i="1"/>
  <c r="C136" i="1"/>
  <c r="B136" i="1"/>
  <c r="J136" i="1" s="1"/>
  <c r="F135" i="1"/>
  <c r="E135" i="1"/>
  <c r="D135" i="1"/>
  <c r="C135" i="1"/>
  <c r="B135" i="1"/>
  <c r="G135" i="1" s="1"/>
  <c r="F134" i="1"/>
  <c r="E134" i="1"/>
  <c r="D134" i="1"/>
  <c r="C134" i="1"/>
  <c r="B134" i="1"/>
  <c r="J134" i="1" s="1"/>
  <c r="F133" i="1"/>
  <c r="E133" i="1"/>
  <c r="D133" i="1"/>
  <c r="C133" i="1"/>
  <c r="B133" i="1"/>
  <c r="G133" i="1" s="1"/>
  <c r="J132" i="1"/>
  <c r="G132" i="1"/>
  <c r="F132" i="1"/>
  <c r="E132" i="1"/>
  <c r="D132" i="1"/>
  <c r="C132" i="1"/>
  <c r="B132" i="1"/>
  <c r="F131" i="1"/>
  <c r="E131" i="1"/>
  <c r="D131" i="1"/>
  <c r="C131" i="1"/>
  <c r="B131" i="1"/>
  <c r="J131" i="1" s="1"/>
  <c r="J130" i="1"/>
  <c r="G130" i="1"/>
  <c r="F130" i="1"/>
  <c r="E130" i="1"/>
  <c r="D130" i="1"/>
  <c r="C130" i="1"/>
  <c r="B130" i="1"/>
  <c r="F129" i="1"/>
  <c r="E129" i="1"/>
  <c r="D129" i="1"/>
  <c r="C129" i="1"/>
  <c r="B129" i="1"/>
  <c r="J129" i="1" s="1"/>
  <c r="F128" i="1"/>
  <c r="E128" i="1"/>
  <c r="D128" i="1"/>
  <c r="C128" i="1"/>
  <c r="B128" i="1"/>
  <c r="G128" i="1" s="1"/>
  <c r="J127" i="1"/>
  <c r="G127" i="1"/>
  <c r="F127" i="1"/>
  <c r="E127" i="1"/>
  <c r="D127" i="1"/>
  <c r="C127" i="1"/>
  <c r="B127" i="1"/>
  <c r="F126" i="1"/>
  <c r="E126" i="1"/>
  <c r="D126" i="1"/>
  <c r="C126" i="1"/>
  <c r="B126" i="1"/>
  <c r="J126" i="1" s="1"/>
  <c r="F125" i="1"/>
  <c r="E125" i="1"/>
  <c r="D125" i="1"/>
  <c r="C125" i="1"/>
  <c r="B125" i="1"/>
  <c r="G125" i="1" s="1"/>
  <c r="F124" i="1"/>
  <c r="E124" i="1"/>
  <c r="D124" i="1"/>
  <c r="C124" i="1"/>
  <c r="B124" i="1"/>
  <c r="J124" i="1" s="1"/>
  <c r="F123" i="1"/>
  <c r="E123" i="1"/>
  <c r="D123" i="1"/>
  <c r="C123" i="1"/>
  <c r="B123" i="1"/>
  <c r="J123" i="1" s="1"/>
  <c r="E122" i="1"/>
  <c r="D122" i="1"/>
  <c r="C122" i="1"/>
  <c r="B122" i="1"/>
  <c r="J122" i="1" s="1"/>
  <c r="E121" i="1"/>
  <c r="D121" i="1"/>
  <c r="C121" i="1"/>
  <c r="B121" i="1"/>
  <c r="J121" i="1" s="1"/>
  <c r="E120" i="1"/>
  <c r="D120" i="1"/>
  <c r="C120" i="1"/>
  <c r="B120" i="1"/>
  <c r="J120" i="1" s="1"/>
  <c r="E119" i="1"/>
  <c r="D119" i="1"/>
  <c r="C119" i="1"/>
  <c r="B119" i="1"/>
  <c r="J119" i="1" s="1"/>
  <c r="E118" i="1"/>
  <c r="D118" i="1"/>
  <c r="C118" i="1"/>
  <c r="B118" i="1"/>
  <c r="G118" i="1" s="1"/>
  <c r="J117" i="1"/>
  <c r="E117" i="1"/>
  <c r="D117" i="1"/>
  <c r="C117" i="1"/>
  <c r="B117" i="1"/>
  <c r="G117" i="1" s="1"/>
  <c r="E116" i="1"/>
  <c r="D116" i="1"/>
  <c r="C116" i="1"/>
  <c r="B116" i="1"/>
  <c r="J116" i="1" s="1"/>
  <c r="E115" i="1"/>
  <c r="D115" i="1"/>
  <c r="C115" i="1"/>
  <c r="B115" i="1"/>
  <c r="J115" i="1" s="1"/>
  <c r="E114" i="1"/>
  <c r="D114" i="1"/>
  <c r="C114" i="1"/>
  <c r="B114" i="1"/>
  <c r="J114" i="1" s="1"/>
  <c r="E113" i="1"/>
  <c r="D113" i="1"/>
  <c r="C113" i="1"/>
  <c r="B113" i="1"/>
  <c r="G113" i="1" s="1"/>
  <c r="E112" i="1"/>
  <c r="D112" i="1"/>
  <c r="C112" i="1"/>
  <c r="B112" i="1"/>
  <c r="J112" i="1" s="1"/>
  <c r="E111" i="1"/>
  <c r="D111" i="1"/>
  <c r="C111" i="1"/>
  <c r="B111" i="1"/>
  <c r="J111" i="1" s="1"/>
  <c r="J110" i="1"/>
  <c r="G110" i="1"/>
  <c r="J109" i="1"/>
  <c r="G109" i="1"/>
  <c r="J108" i="1"/>
  <c r="G108" i="1"/>
  <c r="J107" i="1"/>
  <c r="G107" i="1"/>
  <c r="J106" i="1"/>
  <c r="G106" i="1"/>
  <c r="J105" i="1"/>
  <c r="G105" i="1"/>
  <c r="J104" i="1"/>
  <c r="G104" i="1"/>
  <c r="J103" i="1"/>
  <c r="G103" i="1"/>
  <c r="J102" i="1"/>
  <c r="G102" i="1"/>
  <c r="J101" i="1"/>
  <c r="G101" i="1"/>
  <c r="J100" i="1"/>
  <c r="G100" i="1"/>
  <c r="J99" i="1"/>
  <c r="G99" i="1"/>
  <c r="J98" i="1"/>
  <c r="G98" i="1"/>
  <c r="J97" i="1"/>
  <c r="G97" i="1"/>
  <c r="J96" i="1"/>
  <c r="G96" i="1"/>
  <c r="J95" i="1"/>
  <c r="G95" i="1"/>
  <c r="J94" i="1"/>
  <c r="G94" i="1"/>
  <c r="J93" i="1"/>
  <c r="G93" i="1"/>
  <c r="J92" i="1"/>
  <c r="G92" i="1"/>
  <c r="J91" i="1"/>
  <c r="G91" i="1"/>
  <c r="J90" i="1"/>
  <c r="G90" i="1"/>
  <c r="J89" i="1"/>
  <c r="G89" i="1"/>
  <c r="J88" i="1"/>
  <c r="G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80" i="1"/>
  <c r="G80" i="1"/>
  <c r="J79" i="1"/>
  <c r="G79" i="1"/>
  <c r="J78" i="1"/>
  <c r="G78" i="1"/>
  <c r="J77" i="1"/>
  <c r="G77" i="1"/>
  <c r="J76" i="1"/>
  <c r="G76" i="1"/>
  <c r="J75" i="1"/>
  <c r="G75" i="1"/>
  <c r="J74" i="1"/>
  <c r="G74" i="1"/>
  <c r="J73" i="1"/>
  <c r="G73" i="1"/>
  <c r="J72" i="1"/>
  <c r="G72" i="1"/>
  <c r="J71" i="1"/>
  <c r="G71" i="1"/>
  <c r="J70" i="1"/>
  <c r="G70" i="1"/>
  <c r="J69" i="1"/>
  <c r="G69" i="1"/>
  <c r="J68" i="1"/>
  <c r="G68" i="1"/>
  <c r="J67" i="1"/>
  <c r="G67" i="1"/>
  <c r="J66" i="1"/>
  <c r="G66" i="1"/>
  <c r="J65" i="1"/>
  <c r="G65" i="1"/>
  <c r="J64" i="1"/>
  <c r="G64" i="1"/>
  <c r="J63" i="1"/>
  <c r="G63" i="1"/>
  <c r="J62" i="1"/>
  <c r="G62" i="1"/>
  <c r="J61" i="1"/>
  <c r="G61" i="1"/>
  <c r="J60" i="1"/>
  <c r="G60" i="1"/>
  <c r="J59" i="1"/>
  <c r="G59" i="1"/>
  <c r="J58" i="1"/>
  <c r="G58" i="1"/>
  <c r="J57" i="1"/>
  <c r="G57" i="1"/>
  <c r="J56" i="1"/>
  <c r="G56" i="1"/>
  <c r="J55" i="1"/>
  <c r="G55" i="1"/>
  <c r="J54" i="1"/>
  <c r="G54" i="1"/>
  <c r="J53" i="1"/>
  <c r="G53" i="1"/>
  <c r="J52" i="1"/>
  <c r="G52" i="1"/>
  <c r="J51" i="1"/>
  <c r="G51" i="1"/>
  <c r="J50" i="1"/>
  <c r="G50" i="1"/>
  <c r="J49" i="1"/>
  <c r="G49" i="1"/>
  <c r="J48" i="1"/>
  <c r="G48" i="1"/>
  <c r="J47" i="1"/>
  <c r="G47" i="1"/>
  <c r="J46" i="1"/>
  <c r="G46" i="1"/>
  <c r="J45" i="1"/>
  <c r="G45" i="1"/>
  <c r="J44" i="1"/>
  <c r="G44" i="1"/>
  <c r="J43" i="1"/>
  <c r="G43" i="1"/>
  <c r="J42" i="1"/>
  <c r="G42" i="1"/>
  <c r="J41" i="1"/>
  <c r="G41" i="1"/>
  <c r="J40" i="1"/>
  <c r="G40" i="1"/>
  <c r="J39" i="1"/>
  <c r="G39" i="1"/>
  <c r="J38" i="1"/>
  <c r="G38" i="1"/>
  <c r="J37" i="1"/>
  <c r="G37" i="1"/>
  <c r="J36" i="1"/>
  <c r="G36" i="1"/>
  <c r="J35" i="1"/>
  <c r="G35" i="1"/>
  <c r="J34" i="1"/>
  <c r="G34" i="1"/>
  <c r="J33" i="1"/>
  <c r="G33" i="1"/>
  <c r="J32" i="1"/>
  <c r="G32" i="1"/>
  <c r="J31" i="1"/>
  <c r="G31" i="1"/>
  <c r="J30" i="1"/>
  <c r="G30" i="1"/>
  <c r="J29" i="1"/>
  <c r="G29" i="1"/>
  <c r="J28" i="1"/>
  <c r="G28" i="1"/>
  <c r="J27" i="1"/>
  <c r="G27" i="1"/>
  <c r="J26" i="1"/>
  <c r="G26" i="1"/>
  <c r="J25" i="1"/>
  <c r="G25" i="1"/>
  <c r="J24" i="1"/>
  <c r="G24" i="1"/>
  <c r="J23" i="1"/>
  <c r="G23" i="1"/>
  <c r="J22" i="1"/>
  <c r="G22" i="1"/>
  <c r="J21" i="1"/>
  <c r="G21" i="1"/>
  <c r="J20" i="1"/>
  <c r="G20" i="1"/>
  <c r="J19" i="1"/>
  <c r="G19" i="1"/>
  <c r="J18" i="1"/>
  <c r="G18" i="1"/>
  <c r="J17" i="1"/>
  <c r="G17" i="1"/>
  <c r="J16" i="1"/>
  <c r="G16" i="1"/>
  <c r="J15" i="1"/>
  <c r="G15" i="1"/>
  <c r="J14" i="1"/>
  <c r="G14" i="1"/>
  <c r="J13" i="1"/>
  <c r="G13" i="1"/>
  <c r="J12" i="1"/>
  <c r="G12" i="1"/>
  <c r="J11" i="1"/>
  <c r="G11" i="1"/>
  <c r="J10" i="1"/>
  <c r="G10" i="1"/>
  <c r="J9" i="1"/>
  <c r="G9" i="1"/>
  <c r="J8" i="1"/>
  <c r="G8" i="1"/>
  <c r="J7" i="1"/>
  <c r="G7" i="1"/>
  <c r="J6" i="1"/>
  <c r="G6" i="1"/>
  <c r="J5" i="1"/>
  <c r="G5" i="1"/>
  <c r="G115" i="1" l="1"/>
  <c r="G189" i="1"/>
  <c r="G112" i="1"/>
  <c r="J125" i="1"/>
  <c r="J139" i="1"/>
  <c r="G150" i="1"/>
  <c r="G164" i="1"/>
  <c r="J175" i="1"/>
  <c r="G178" i="1"/>
  <c r="G159" i="1"/>
  <c r="G173" i="1"/>
  <c r="G187" i="1"/>
  <c r="G134" i="1"/>
  <c r="G148" i="1"/>
  <c r="G162" i="1"/>
  <c r="G120" i="1"/>
  <c r="G123" i="1"/>
  <c r="J118" i="1"/>
  <c r="J137" i="1"/>
  <c r="G144" i="1"/>
  <c r="J169" i="1"/>
  <c r="J185" i="1"/>
  <c r="G192" i="1"/>
  <c r="J160" i="1"/>
  <c r="G116" i="1"/>
  <c r="J190" i="1"/>
  <c r="G111" i="1"/>
  <c r="G119" i="1"/>
  <c r="G124" i="1"/>
  <c r="J133" i="1"/>
  <c r="G140" i="1"/>
  <c r="J149" i="1"/>
  <c r="G156" i="1"/>
  <c r="J165" i="1"/>
  <c r="G172" i="1"/>
  <c r="J181" i="1"/>
  <c r="G188" i="1"/>
  <c r="J167" i="1"/>
  <c r="G131" i="1"/>
  <c r="G147" i="1"/>
  <c r="G163" i="1"/>
  <c r="G179" i="1"/>
  <c r="J153" i="1"/>
  <c r="G176" i="1"/>
  <c r="J135" i="1"/>
  <c r="J151" i="1"/>
  <c r="G158" i="1"/>
  <c r="J183" i="1"/>
  <c r="J142" i="1"/>
  <c r="G114" i="1"/>
  <c r="G122" i="1"/>
  <c r="G138" i="1"/>
  <c r="G154" i="1"/>
  <c r="G170" i="1"/>
  <c r="G186" i="1"/>
  <c r="J113" i="1"/>
  <c r="J128" i="1"/>
  <c r="G174" i="1"/>
  <c r="G129" i="1"/>
  <c r="G145" i="1"/>
  <c r="G161" i="1"/>
  <c r="G177" i="1"/>
  <c r="G193" i="1"/>
  <c r="G121" i="1"/>
  <c r="G126" i="1"/>
  <c r="G136" i="1"/>
  <c r="G152" i="1"/>
  <c r="G168" i="1"/>
  <c r="G184" i="1"/>
</calcChain>
</file>

<file path=xl/sharedStrings.xml><?xml version="1.0" encoding="utf-8"?>
<sst xmlns="http://schemas.openxmlformats.org/spreadsheetml/2006/main" count="153" uniqueCount="77">
  <si>
    <t>DATE</t>
    <phoneticPr fontId="4" type="noConversion"/>
  </si>
  <si>
    <r>
      <rPr>
        <sz val="10"/>
        <rFont val="돋움"/>
        <family val="3"/>
        <charset val="129"/>
      </rPr>
      <t>증권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평균</t>
    </r>
    <phoneticPr fontId="4" type="noConversion"/>
  </si>
  <si>
    <r>
      <rPr>
        <sz val="10"/>
        <rFont val="돋움"/>
        <family val="3"/>
        <charset val="129"/>
      </rPr>
      <t>은행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평균</t>
    </r>
    <phoneticPr fontId="4" type="noConversion"/>
  </si>
  <si>
    <r>
      <rPr>
        <sz val="10"/>
        <rFont val="돋움"/>
        <family val="3"/>
        <charset val="129"/>
      </rPr>
      <t>생보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평균</t>
    </r>
    <phoneticPr fontId="4" type="noConversion"/>
  </si>
  <si>
    <r>
      <rPr>
        <sz val="10"/>
        <rFont val="돋움"/>
        <family val="3"/>
        <charset val="129"/>
      </rPr>
      <t>손보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0"/>
        <rFont val="돋움"/>
        <family val="3"/>
        <charset val="129"/>
      </rPr>
      <t>평균</t>
    </r>
    <phoneticPr fontId="4" type="noConversion"/>
  </si>
  <si>
    <t>저축 평균</t>
    <phoneticPr fontId="3" type="noConversion"/>
  </si>
  <si>
    <t>원리금보장상품금리 평균 (1년, DB)</t>
    <phoneticPr fontId="4" type="noConversion"/>
  </si>
  <si>
    <t>국채금리 (1년)</t>
    <phoneticPr fontId="4" type="noConversion"/>
  </si>
  <si>
    <t>기준금리</t>
    <phoneticPr fontId="3" type="noConversion"/>
  </si>
  <si>
    <t>2012-02-01</t>
  </si>
  <si>
    <t>2012-02-16</t>
  </si>
  <si>
    <t>2012-03-01</t>
  </si>
  <si>
    <t>2012-03-16</t>
  </si>
  <si>
    <t>2012-04-01</t>
  </si>
  <si>
    <t>2012-04-16</t>
  </si>
  <si>
    <t>2012-05-01</t>
  </si>
  <si>
    <t>2012-05-16</t>
  </si>
  <si>
    <t>2012-06-01</t>
  </si>
  <si>
    <t>2012-06-16</t>
  </si>
  <si>
    <t>2012-07-01</t>
  </si>
  <si>
    <t>2012-07-16</t>
  </si>
  <si>
    <t>2012-08-01</t>
  </si>
  <si>
    <t>2012-08-16</t>
  </si>
  <si>
    <t>2012-09-01</t>
  </si>
  <si>
    <t>2012-09-16</t>
  </si>
  <si>
    <t>2012-10-01</t>
  </si>
  <si>
    <t>2012-10-16</t>
  </si>
  <si>
    <t>2012-11-01</t>
  </si>
  <si>
    <t>2012-11-16</t>
  </si>
  <si>
    <t>2012-12-01</t>
  </si>
  <si>
    <t>2012-12-16</t>
  </si>
  <si>
    <t>2013-01-01</t>
  </si>
  <si>
    <t>2013-01-16</t>
  </si>
  <si>
    <t>2013-02-01</t>
  </si>
  <si>
    <t>2013-02-16</t>
  </si>
  <si>
    <t>2013-03-01</t>
  </si>
  <si>
    <t>2013-03-16</t>
  </si>
  <si>
    <t>2013-04-01</t>
  </si>
  <si>
    <t>2013-04-16</t>
  </si>
  <si>
    <t>2013-05-01</t>
  </si>
  <si>
    <t>2013-05-16</t>
  </si>
  <si>
    <t>2013-06-01</t>
  </si>
  <si>
    <t>2013-06-16</t>
  </si>
  <si>
    <t>2013-07-01</t>
  </si>
  <si>
    <t>2013-07-16</t>
  </si>
  <si>
    <t>2013-08-01</t>
  </si>
  <si>
    <t>2013-08-16</t>
  </si>
  <si>
    <t>2013-09-01</t>
  </si>
  <si>
    <t>2013-09-16</t>
  </si>
  <si>
    <t>2013-10-01</t>
  </si>
  <si>
    <t>2013-10-16</t>
  </si>
  <si>
    <t>2013-11-01</t>
  </si>
  <si>
    <t>2013-11-16</t>
  </si>
  <si>
    <t>2013-12-01</t>
  </si>
  <si>
    <t>2013-12-16</t>
  </si>
  <si>
    <t>2014-01-01</t>
  </si>
  <si>
    <t>2014-01-16</t>
  </si>
  <si>
    <t>2014-02-01</t>
  </si>
  <si>
    <t>2014-02-16</t>
  </si>
  <si>
    <t>2014-03-01</t>
  </si>
  <si>
    <t>2014-03-16</t>
  </si>
  <si>
    <t>2014-04-01</t>
  </si>
  <si>
    <t>2014-04-16</t>
  </si>
  <si>
    <t>2014-05-01</t>
  </si>
  <si>
    <t>2014-05-16</t>
  </si>
  <si>
    <t>2014-06-01</t>
  </si>
  <si>
    <t>2014-06-16</t>
  </si>
  <si>
    <t>2014-07-01</t>
  </si>
  <si>
    <t>2014-07-16</t>
  </si>
  <si>
    <t>2014-08-01</t>
  </si>
  <si>
    <t>2014-08-16</t>
  </si>
  <si>
    <t>2014-09-01</t>
  </si>
  <si>
    <t>2014-09-16</t>
  </si>
  <si>
    <t>2014-10-01</t>
  </si>
  <si>
    <t>2014-10-16</t>
  </si>
  <si>
    <t>2014-11-01</t>
  </si>
  <si>
    <t>2014-12-01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</si>
</sst>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&quot;$&quot;* #,##0_);_(&quot;$&quot;* \(#,##0\);_(&quot;$&quot;* &quot;-&quot;_);_(@_)"/>
    <numFmt numFmtId="177" formatCode="0.00_);[Red]\(0.00\)"/>
    <numFmt numFmtId="178" formatCode="0.00_ "/>
    <numFmt numFmtId="179" formatCode="#,##0.00_ "/>
  </numFmts>
  <fonts count="7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176" fontId="1" fillId="0" borderId="0" applyFont="0" applyFill="0" applyBorder="0" applyAlignment="0" applyProtection="0"/>
  </cellStyleXfs>
  <cellXfs count="35">
    <xf numFmtId="0" fontId="0" fillId="0" borderId="0" xfId="0">
      <alignment vertical="center"/>
    </xf>
    <xf numFmtId="0" fontId="2" fillId="0" borderId="0" xfId="1" applyFont="1"/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77" fontId="0" fillId="0" borderId="0" xfId="2" applyNumberFormat="1" applyFont="1" applyAlignment="1">
      <alignment horizontal="center"/>
    </xf>
    <xf numFmtId="177" fontId="1" fillId="0" borderId="0" xfId="1" applyNumberFormat="1"/>
    <xf numFmtId="14" fontId="1" fillId="0" borderId="0" xfId="1" applyNumberFormat="1" applyAlignment="1">
      <alignment horizontal="left"/>
    </xf>
    <xf numFmtId="14" fontId="1" fillId="3" borderId="0" xfId="1" applyNumberFormat="1" applyFill="1" applyAlignment="1">
      <alignment horizontal="left"/>
    </xf>
    <xf numFmtId="177" fontId="0" fillId="3" borderId="0" xfId="2" applyNumberFormat="1" applyFont="1" applyFill="1" applyAlignment="1">
      <alignment horizontal="center"/>
    </xf>
    <xf numFmtId="0" fontId="1" fillId="3" borderId="0" xfId="1" applyFill="1"/>
    <xf numFmtId="2" fontId="1" fillId="0" borderId="0" xfId="1" applyNumberFormat="1" applyAlignment="1">
      <alignment horizontal="center"/>
    </xf>
    <xf numFmtId="2" fontId="1" fillId="3" borderId="0" xfId="1" applyNumberFormat="1" applyFill="1" applyAlignment="1">
      <alignment horizontal="center"/>
    </xf>
    <xf numFmtId="2" fontId="1" fillId="0" borderId="0" xfId="1" applyNumberFormat="1"/>
    <xf numFmtId="178" fontId="1" fillId="0" borderId="0" xfId="1" applyNumberFormat="1"/>
    <xf numFmtId="177" fontId="5" fillId="0" borderId="0" xfId="0" applyNumberFormat="1" applyFont="1">
      <alignment vertical="center"/>
    </xf>
    <xf numFmtId="14" fontId="6" fillId="0" borderId="0" xfId="0" applyNumberFormat="1" applyFont="1" applyAlignment="1">
      <alignment horizontal="left" vertical="center"/>
    </xf>
    <xf numFmtId="179" fontId="1" fillId="0" borderId="0" xfId="1" applyNumberFormat="1"/>
    <xf numFmtId="14" fontId="0" fillId="0" borderId="0" xfId="0" applyNumberFormat="1" applyAlignment="1">
      <alignment horizontal="left" vertical="center"/>
    </xf>
    <xf numFmtId="0" fontId="2" fillId="4" borderId="1" xfId="1" applyFont="1" applyFill="1" applyBorder="1"/>
    <xf numFmtId="177" fontId="1" fillId="4" borderId="1" xfId="1" applyNumberFormat="1" applyFill="1" applyBorder="1" applyAlignment="1">
      <alignment horizontal="center"/>
    </xf>
    <xf numFmtId="177" fontId="2" fillId="4" borderId="1" xfId="1" applyNumberFormat="1" applyFont="1" applyFill="1" applyBorder="1" applyAlignment="1">
      <alignment horizontal="center"/>
    </xf>
    <xf numFmtId="177" fontId="2" fillId="4" borderId="1" xfId="1" applyNumberFormat="1" applyFont="1" applyFill="1" applyBorder="1" applyAlignment="1">
      <alignment horizontal="center" vertical="center" wrapText="1"/>
    </xf>
    <xf numFmtId="177" fontId="2" fillId="4" borderId="1" xfId="1" applyNumberFormat="1" applyFont="1" applyFill="1" applyBorder="1"/>
    <xf numFmtId="0" fontId="0" fillId="4" borderId="0" xfId="0" applyFill="1">
      <alignment vertical="center"/>
    </xf>
    <xf numFmtId="14" fontId="1" fillId="4" borderId="1" xfId="1" applyNumberFormat="1" applyFill="1" applyBorder="1"/>
    <xf numFmtId="177" fontId="0" fillId="4" borderId="1" xfId="2" applyNumberFormat="1" applyFont="1" applyFill="1" applyBorder="1" applyAlignment="1">
      <alignment horizontal="center"/>
    </xf>
    <xf numFmtId="177" fontId="1" fillId="4" borderId="1" xfId="1" applyNumberFormat="1" applyFill="1" applyBorder="1"/>
    <xf numFmtId="14" fontId="1" fillId="4" borderId="1" xfId="1" applyNumberFormat="1" applyFill="1" applyBorder="1" applyAlignment="1">
      <alignment horizontal="left"/>
    </xf>
    <xf numFmtId="177" fontId="5" fillId="4" borderId="1" xfId="0" applyNumberFormat="1" applyFont="1" applyFill="1" applyBorder="1">
      <alignment vertical="center"/>
    </xf>
    <xf numFmtId="14" fontId="6" fillId="4" borderId="1" xfId="0" applyNumberFormat="1" applyFont="1" applyFill="1" applyBorder="1" applyAlignment="1">
      <alignment horizontal="left" vertical="center"/>
    </xf>
    <xf numFmtId="14" fontId="0" fillId="4" borderId="1" xfId="0" applyNumberFormat="1" applyFill="1" applyBorder="1" applyAlignment="1">
      <alignment horizontal="left" vertical="center"/>
    </xf>
    <xf numFmtId="0" fontId="1" fillId="4" borderId="0" xfId="1" applyFill="1"/>
  </cellXfs>
  <cellStyles count="3">
    <cellStyle name="쉼표 [0] 4" xfId="2" xr:uid="{07839560-F570-4819-B013-386D03AACB54}"/>
    <cellStyle name="표준" xfId="0" builtinId="0"/>
    <cellStyle name="표준 2 2 10" xfId="1" xr:uid="{15FBAF48-3176-4C5F-84D2-58B1744670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9733;&#49324;&#50857;&#51088;%20&#54260;&#45908;/Desktop/022&#50896;&#47532;&#44552;&#50629;&#47924;/&#44277;&#49884;&#44552;&#47532;%20&#52628;&#51060;%20&#51221;&#47532;_2011.7&#48512;&#53552;_202607_&#54200;&#51665;.xlsx" TargetMode="External"/><Relationship Id="rId2" Type="http://schemas.openxmlformats.org/officeDocument/2006/relationships/externalLinkPath" Target="file:///D:\&#9733;&#49324;&#50857;&#51088;%20&#54260;&#45908;\Desktop\022&#50896;&#47532;&#44552;&#50629;&#47924;\&#44277;&#49884;&#44552;&#47532;%20&#52628;&#51060;%20&#51221;&#47532;_2011.7&#48512;&#53552;_202607_&#54200;&#51665;.xlsx" TargetMode="External"/><Relationship Id="rId1" Type="http://schemas.openxmlformats.org/officeDocument/2006/relationships/externalLinkPath" Target="/&#9733;&#49324;&#50857;&#51088;%20&#54260;&#45908;/Desktop/022&#50896;&#47532;&#44552;&#50629;&#47924;/&#44277;&#49884;&#44552;&#47532;%20&#52628;&#51060;%20&#51221;&#47532;_2011.7&#48512;&#53552;_202607_&#54200;&#5166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할인율 임금상승률"/>
      <sheetName val="증권 은행 보험"/>
      <sheetName val="농협제공시트"/>
      <sheetName val="2026.07"/>
      <sheetName val="2026.06"/>
      <sheetName val="2026.05"/>
      <sheetName val="2026.04"/>
      <sheetName val="2026.03"/>
      <sheetName val="2026.02"/>
      <sheetName val="2026.01"/>
      <sheetName val="2025.12"/>
      <sheetName val="2025.11"/>
      <sheetName val="2025.10"/>
      <sheetName val="2025.09"/>
      <sheetName val="2025.08"/>
      <sheetName val="2025.07"/>
      <sheetName val="2025.06"/>
      <sheetName val="2025.05"/>
      <sheetName val="2025.04"/>
      <sheetName val="2025.03"/>
      <sheetName val="2025.02"/>
      <sheetName val="2025.01"/>
      <sheetName val="2024.12"/>
      <sheetName val="2024.11"/>
      <sheetName val="2024.10"/>
      <sheetName val="2024.09"/>
      <sheetName val="2024.08"/>
      <sheetName val="2024.07"/>
      <sheetName val="2024.06"/>
      <sheetName val="2024.05"/>
      <sheetName val="2024.04"/>
      <sheetName val="2024.03"/>
      <sheetName val="2024.02"/>
      <sheetName val="2024.01"/>
      <sheetName val="2023.12"/>
      <sheetName val="2023.11"/>
      <sheetName val="2023.10"/>
      <sheetName val="2023.09"/>
      <sheetName val="2023.08"/>
      <sheetName val="2023.07"/>
      <sheetName val="2023.06"/>
      <sheetName val="2023.05"/>
      <sheetName val="2023.04"/>
      <sheetName val="2023.03"/>
      <sheetName val="2023.02"/>
      <sheetName val="2023.01"/>
      <sheetName val="2022.12"/>
      <sheetName val="2022.11"/>
      <sheetName val="2022.10"/>
      <sheetName val="2022.09"/>
      <sheetName val="2022.08"/>
      <sheetName val="2022.07"/>
      <sheetName val="2022.06"/>
      <sheetName val="2022.05"/>
      <sheetName val="2022.04"/>
      <sheetName val="2022.03"/>
      <sheetName val="2022.02"/>
      <sheetName val="2022.01"/>
      <sheetName val="2021.12"/>
      <sheetName val="2021.11"/>
      <sheetName val="2021.10"/>
      <sheetName val="2021.09"/>
      <sheetName val="2021.08"/>
      <sheetName val="2021.07"/>
      <sheetName val="2021.06"/>
      <sheetName val="2021.05"/>
      <sheetName val="2021.04"/>
      <sheetName val="2021.03"/>
      <sheetName val="2021.02"/>
      <sheetName val="2021.01"/>
      <sheetName val="2020.12"/>
      <sheetName val="2020.11"/>
      <sheetName val="2020.10"/>
      <sheetName val="2020.09"/>
      <sheetName val="2020.08"/>
      <sheetName val="2020.07"/>
      <sheetName val="2020.06"/>
      <sheetName val="2020.05"/>
      <sheetName val="2020.04"/>
      <sheetName val="2020.03"/>
      <sheetName val="2020.02"/>
      <sheetName val="2020.01"/>
      <sheetName val="2019.12"/>
      <sheetName val="2019.11"/>
      <sheetName val="2019.10"/>
      <sheetName val="2019.09"/>
      <sheetName val="2019.08"/>
      <sheetName val="2019.07"/>
      <sheetName val="2019.06"/>
      <sheetName val="2019.05"/>
      <sheetName val="2019.04"/>
      <sheetName val="2019.03"/>
      <sheetName val="2019.02"/>
      <sheetName val="2019.01"/>
      <sheetName val="2018.12"/>
      <sheetName val="2018.11"/>
      <sheetName val="2018.10"/>
      <sheetName val="2018.09"/>
      <sheetName val="2018.08"/>
      <sheetName val="2018.07"/>
      <sheetName val="2018.06"/>
      <sheetName val="2018.05"/>
      <sheetName val="2018.4.1~30"/>
      <sheetName val="2018.3.1~31"/>
      <sheetName val="2018.2.1~28"/>
      <sheetName val="2018.1.1~31"/>
      <sheetName val="2017.12.1~31"/>
      <sheetName val="2017.11.1~30"/>
      <sheetName val="2017.10.1~31"/>
      <sheetName val="2017.9.1~30"/>
      <sheetName val="2017.8.1~31"/>
      <sheetName val="2017.7.1~31"/>
      <sheetName val="2017.6.1~30"/>
      <sheetName val="2017.5.1~31"/>
      <sheetName val="2017.4.1~30"/>
      <sheetName val="2017.3.1~31"/>
      <sheetName val="2017.2.1~28"/>
      <sheetName val="2017.1.1~31"/>
      <sheetName val="2016.12.1~31"/>
      <sheetName val="2016.11.1~30"/>
      <sheetName val="2016.10.1~31"/>
      <sheetName val="2016.9.1~30"/>
      <sheetName val="2016.8.1~31"/>
      <sheetName val="2016.7.1~31"/>
      <sheetName val="2016.6.1~30"/>
      <sheetName val="2016.5.1~31"/>
      <sheetName val="2016.4.1~30"/>
      <sheetName val="2016.3.1~31"/>
      <sheetName val="2016.2.1~29"/>
      <sheetName val="2016.1.1~31"/>
      <sheetName val="2015.12.1~31"/>
      <sheetName val="2015.11.1~30"/>
      <sheetName val="2015.10.1~31"/>
      <sheetName val="2015.9.1~30"/>
      <sheetName val="2015.8.1~31"/>
      <sheetName val="2015.7.1~31"/>
      <sheetName val="2015.6.1~30"/>
      <sheetName val="2015.5.1~31"/>
      <sheetName val="2015.4.1~30"/>
      <sheetName val="2015.3.1~31"/>
      <sheetName val="2015.2.1~28"/>
      <sheetName val="2015.1.1~31"/>
      <sheetName val="2014.12.1~31"/>
      <sheetName val="2014.11.1~30"/>
      <sheetName val="2014.10.16~31"/>
      <sheetName val="2014.10.1~15"/>
      <sheetName val="2014.9.16~30"/>
      <sheetName val="2014.9.1~15"/>
      <sheetName val="2014.8.16~31"/>
      <sheetName val="2014.8.1~15"/>
      <sheetName val="2014.7.16~31"/>
      <sheetName val="2014.7.1~15"/>
      <sheetName val="2014.6.16~30"/>
      <sheetName val="2014.6.1~15"/>
      <sheetName val="2014.5.16~31"/>
      <sheetName val="2014.5.1~15"/>
      <sheetName val="2014.4.16~30"/>
      <sheetName val="2014.4.1~15"/>
      <sheetName val="2014.3.16~31"/>
      <sheetName val="2014.3.1~15"/>
      <sheetName val="2014.2.16~28"/>
      <sheetName val="2014.2.1~15"/>
      <sheetName val="2014.1.16~31"/>
      <sheetName val="2014.1.1~15"/>
      <sheetName val="2013.12.16~31"/>
      <sheetName val="2013.12.1~15"/>
      <sheetName val="2013.11.16~30"/>
      <sheetName val="2013.11.1~15"/>
      <sheetName val="2013.10.16~31"/>
      <sheetName val="2013.10.1~15"/>
      <sheetName val="2013.9.16~30"/>
      <sheetName val="2013.9.1~15"/>
      <sheetName val="2013.8.16~31"/>
      <sheetName val="2013.8.1~15"/>
      <sheetName val="2013.7.16~31"/>
      <sheetName val="2013.7.1~15"/>
      <sheetName val="2013.6.16~30"/>
      <sheetName val="2013.6.1~15"/>
      <sheetName val="2013.5.16~31"/>
      <sheetName val="2013.5.1~15"/>
      <sheetName val="2013.4.16~30"/>
      <sheetName val="2013.4.1~15"/>
      <sheetName val="2013.3.16~31"/>
      <sheetName val="2013.3.1~15"/>
      <sheetName val="2013.2.16~28"/>
      <sheetName val="2013.2.1~15"/>
      <sheetName val="2013.1.16~31"/>
      <sheetName val="2013.1.1~15"/>
      <sheetName val="2012.12.16~31"/>
      <sheetName val="2012.12.1~15"/>
      <sheetName val="2012.11.16~30"/>
      <sheetName val="2012.11.01~15"/>
      <sheetName val="2012.10.16~31"/>
      <sheetName val="2012.10.1~15"/>
      <sheetName val="2012.09.16~30"/>
      <sheetName val="2012.09.01~15"/>
      <sheetName val="2012.08.16~31"/>
      <sheetName val="2012.08.01~15"/>
      <sheetName val="2012.07.16~31"/>
      <sheetName val="2012.07.01~15"/>
      <sheetName val="2012.06.16~30"/>
      <sheetName val="2012.06.01~15"/>
      <sheetName val="2012.05.16~31"/>
      <sheetName val="2012.05.01~15"/>
      <sheetName val="2012.04.16~30"/>
      <sheetName val="2012.04.01~15"/>
      <sheetName val="2012.03.16~31"/>
      <sheetName val="2012.03.01~15"/>
      <sheetName val="2012.02.16~29 "/>
      <sheetName val="2012.02.01~15"/>
      <sheetName val="2012.01.15~31"/>
      <sheetName val="2012.01.01~15"/>
      <sheetName val="2011.12.16~31"/>
      <sheetName val="2011.12.1~15"/>
      <sheetName val="2011.11.16~30"/>
      <sheetName val="2011.11.1~15"/>
      <sheetName val="2011.10.16~31"/>
      <sheetName val="2011.10.1~15"/>
      <sheetName val="2011.9.16~30"/>
      <sheetName val="2011.9.1~15"/>
      <sheetName val="2011.8.16~31"/>
      <sheetName val="2011.8.1~15"/>
      <sheetName val="2011.7.16~31"/>
      <sheetName val="2011.7.1~7.15"/>
      <sheetName val="Sheet1"/>
    </sheetNames>
    <sheetDataSet>
      <sheetData sheetId="0"/>
      <sheetData sheetId="1"/>
      <sheetData sheetId="2"/>
      <sheetData sheetId="3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ELB/DLB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ELB/DLB</v>
          </cell>
        </row>
        <row r="28">
          <cell r="E28" t="str">
            <v>ELB/ DLB</v>
          </cell>
        </row>
        <row r="29">
          <cell r="E29" t="str">
            <v>ELB</v>
          </cell>
        </row>
        <row r="30">
          <cell r="E30" t="str">
            <v>ELB/DLB</v>
          </cell>
        </row>
        <row r="31">
          <cell r="E31" t="str">
            <v>ELB</v>
          </cell>
        </row>
        <row r="71">
          <cell r="E71" t="str">
            <v>GIC</v>
          </cell>
        </row>
        <row r="72">
          <cell r="E72" t="str">
            <v>GIC</v>
          </cell>
        </row>
        <row r="73">
          <cell r="E73" t="str">
            <v>GIC2</v>
          </cell>
        </row>
        <row r="74">
          <cell r="E74" t="str">
            <v>GIC1</v>
          </cell>
        </row>
        <row r="75">
          <cell r="E75" t="str">
            <v>GIC3</v>
          </cell>
        </row>
        <row r="76">
          <cell r="E76" t="str">
            <v>GIC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  <row r="90">
          <cell r="E90" t="str">
            <v>정기예금</v>
          </cell>
        </row>
        <row r="91">
          <cell r="E91" t="str">
            <v>정기예금</v>
          </cell>
        </row>
      </sheetData>
      <sheetData sheetId="4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ELB/DLB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ELB/DLB</v>
          </cell>
        </row>
        <row r="28">
          <cell r="E28" t="str">
            <v>ELB/ DLB</v>
          </cell>
        </row>
        <row r="29">
          <cell r="E29" t="str">
            <v>ELB</v>
          </cell>
        </row>
        <row r="30">
          <cell r="E30" t="str">
            <v>ELB/DLB</v>
          </cell>
        </row>
        <row r="31">
          <cell r="E31" t="str">
            <v>ELB</v>
          </cell>
        </row>
        <row r="71">
          <cell r="E71" t="str">
            <v>GIC</v>
          </cell>
        </row>
        <row r="72">
          <cell r="E72" t="str">
            <v>GIC</v>
          </cell>
        </row>
        <row r="73">
          <cell r="E73" t="str">
            <v>GIC2</v>
          </cell>
        </row>
        <row r="74">
          <cell r="E74" t="str">
            <v>GIC1</v>
          </cell>
        </row>
        <row r="75">
          <cell r="E75" t="str">
            <v>GIC3</v>
          </cell>
        </row>
        <row r="76">
          <cell r="E76" t="str">
            <v>GIC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  <row r="90">
          <cell r="E90" t="str">
            <v>정기예금</v>
          </cell>
        </row>
        <row r="91">
          <cell r="E91" t="str">
            <v>정기예금</v>
          </cell>
        </row>
      </sheetData>
      <sheetData sheetId="5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ELB/DLB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ELB/DLB</v>
          </cell>
        </row>
        <row r="28">
          <cell r="E28" t="str">
            <v>ELB/ DLB</v>
          </cell>
        </row>
        <row r="29">
          <cell r="E29" t="str">
            <v>ELB</v>
          </cell>
        </row>
        <row r="30">
          <cell r="E30" t="str">
            <v>ELB/DLB</v>
          </cell>
        </row>
        <row r="31">
          <cell r="E31" t="str">
            <v>ELB</v>
          </cell>
        </row>
        <row r="71">
          <cell r="E71" t="str">
            <v>GIC</v>
          </cell>
        </row>
        <row r="72">
          <cell r="E72" t="str">
            <v>GIC</v>
          </cell>
        </row>
        <row r="73">
          <cell r="E73" t="str">
            <v>GIC2</v>
          </cell>
        </row>
        <row r="74">
          <cell r="E74" t="str">
            <v>GIC1</v>
          </cell>
        </row>
        <row r="75">
          <cell r="E75" t="str">
            <v>GIC3</v>
          </cell>
        </row>
        <row r="76">
          <cell r="E76" t="str">
            <v>GIC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  <row r="90">
          <cell r="E90" t="str">
            <v>정기예금</v>
          </cell>
        </row>
        <row r="91">
          <cell r="E91" t="str">
            <v>정기예금</v>
          </cell>
        </row>
      </sheetData>
      <sheetData sheetId="6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ELB/DLB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ELB/DLB</v>
          </cell>
        </row>
        <row r="28">
          <cell r="E28" t="str">
            <v>ELB/ DLB</v>
          </cell>
        </row>
        <row r="29">
          <cell r="E29" t="str">
            <v>ELB</v>
          </cell>
        </row>
        <row r="30">
          <cell r="E30" t="str">
            <v>ELB</v>
          </cell>
        </row>
        <row r="31">
          <cell r="E31" t="str">
            <v>ELB</v>
          </cell>
        </row>
        <row r="71">
          <cell r="E71" t="str">
            <v>GIC</v>
          </cell>
        </row>
        <row r="72">
          <cell r="E72" t="str">
            <v>GIC</v>
          </cell>
        </row>
        <row r="73">
          <cell r="E73" t="str">
            <v>GIC2</v>
          </cell>
        </row>
        <row r="74">
          <cell r="E74" t="str">
            <v>GIC1</v>
          </cell>
        </row>
        <row r="75">
          <cell r="E75" t="str">
            <v>GIC3</v>
          </cell>
        </row>
        <row r="76">
          <cell r="E76" t="str">
            <v>GIC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  <row r="90">
          <cell r="E90" t="str">
            <v>정기예금</v>
          </cell>
        </row>
        <row r="91">
          <cell r="E91" t="str">
            <v>정기예금</v>
          </cell>
        </row>
      </sheetData>
      <sheetData sheetId="7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ELB/DLB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  <cell r="I25" t="str">
            <v>Y</v>
          </cell>
        </row>
        <row r="26">
          <cell r="E26" t="str">
            <v>ELB/DLB</v>
          </cell>
          <cell r="I26" t="str">
            <v>Y</v>
          </cell>
        </row>
        <row r="27">
          <cell r="E27" t="str">
            <v>ELB/DLB</v>
          </cell>
          <cell r="I27" t="str">
            <v>Y</v>
          </cell>
        </row>
        <row r="28">
          <cell r="E28" t="str">
            <v>ELB/ DLB</v>
          </cell>
          <cell r="I28" t="str">
            <v>Y</v>
          </cell>
        </row>
        <row r="29">
          <cell r="E29" t="str">
            <v>ELB</v>
          </cell>
          <cell r="I29" t="str">
            <v>Y</v>
          </cell>
        </row>
        <row r="30">
          <cell r="E30" t="str">
            <v>ELB</v>
          </cell>
          <cell r="I30" t="str">
            <v>Y</v>
          </cell>
        </row>
        <row r="31">
          <cell r="E31" t="str">
            <v>ELB</v>
          </cell>
          <cell r="I31" t="str">
            <v>Y</v>
          </cell>
        </row>
        <row r="32">
          <cell r="E32" t="str">
            <v>발행어음(예금)</v>
          </cell>
        </row>
        <row r="33">
          <cell r="E33" t="str">
            <v>정기예금</v>
          </cell>
        </row>
        <row r="34">
          <cell r="E34" t="str">
            <v>정기예금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정기예금</v>
          </cell>
        </row>
        <row r="50">
          <cell r="E50" t="str">
            <v>GIC1</v>
          </cell>
        </row>
        <row r="51">
          <cell r="E51" t="str">
            <v>GIC2</v>
          </cell>
        </row>
        <row r="52">
          <cell r="E52" t="str">
            <v>GIC</v>
          </cell>
        </row>
        <row r="53">
          <cell r="E53" t="str">
            <v>GIC1</v>
          </cell>
        </row>
        <row r="54">
          <cell r="E54" t="str">
            <v>GIC2</v>
          </cell>
        </row>
        <row r="55">
          <cell r="E55" t="str">
            <v>GIC</v>
          </cell>
        </row>
        <row r="56">
          <cell r="E56" t="str">
            <v>GIC2</v>
          </cell>
        </row>
        <row r="57">
          <cell r="E57" t="str">
            <v>GIC</v>
          </cell>
        </row>
        <row r="58">
          <cell r="E58" t="str">
            <v>GIC2</v>
          </cell>
        </row>
        <row r="59">
          <cell r="E59" t="str">
            <v>GIC</v>
          </cell>
        </row>
        <row r="60">
          <cell r="E60" t="str">
            <v>보너스이율보증형</v>
          </cell>
        </row>
        <row r="61">
          <cell r="E61" t="str">
            <v>GIC</v>
          </cell>
        </row>
        <row r="62">
          <cell r="E62" t="str">
            <v>GIC3</v>
          </cell>
        </row>
        <row r="63">
          <cell r="E63" t="str">
            <v>GIC</v>
          </cell>
        </row>
        <row r="64">
          <cell r="E64" t="str">
            <v>GIC</v>
          </cell>
        </row>
        <row r="65">
          <cell r="E65" t="str">
            <v>GIC3</v>
          </cell>
        </row>
        <row r="66">
          <cell r="E66" t="str">
            <v>GIC1</v>
          </cell>
        </row>
        <row r="67">
          <cell r="E67" t="str">
            <v>GIC2</v>
          </cell>
        </row>
        <row r="68">
          <cell r="E68" t="str">
            <v>GIC</v>
          </cell>
        </row>
        <row r="69">
          <cell r="E69" t="str">
            <v>GIC2</v>
          </cell>
        </row>
        <row r="70">
          <cell r="E70" t="str">
            <v>GIC</v>
          </cell>
        </row>
      </sheetData>
      <sheetData sheetId="8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ELB/DLB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ELB/DLB</v>
          </cell>
        </row>
        <row r="28">
          <cell r="E28" t="str">
            <v>ELB/ DLB</v>
          </cell>
        </row>
        <row r="29">
          <cell r="E29" t="str">
            <v>ELB</v>
          </cell>
        </row>
        <row r="30">
          <cell r="E30" t="str">
            <v>ELB</v>
          </cell>
        </row>
        <row r="31">
          <cell r="E31" t="str">
            <v>발행어음(예금)</v>
          </cell>
        </row>
        <row r="32">
          <cell r="E32" t="str">
            <v>정기예금</v>
          </cell>
        </row>
        <row r="33">
          <cell r="E33" t="str">
            <v>정기예금</v>
          </cell>
        </row>
        <row r="34">
          <cell r="E34" t="str">
            <v>정기예금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GIC1</v>
          </cell>
        </row>
        <row r="50">
          <cell r="E50" t="str">
            <v>GIC2</v>
          </cell>
        </row>
        <row r="51">
          <cell r="E51" t="str">
            <v>GIC</v>
          </cell>
        </row>
        <row r="52">
          <cell r="E52" t="str">
            <v>GIC1</v>
          </cell>
        </row>
        <row r="53">
          <cell r="E53" t="str">
            <v>GIC2</v>
          </cell>
        </row>
        <row r="54">
          <cell r="E54" t="str">
            <v>GIC</v>
          </cell>
        </row>
        <row r="55">
          <cell r="E55" t="str">
            <v>GIC2</v>
          </cell>
        </row>
        <row r="56">
          <cell r="E56" t="str">
            <v>GIC</v>
          </cell>
        </row>
        <row r="57">
          <cell r="E57" t="str">
            <v>GIC2</v>
          </cell>
        </row>
        <row r="58">
          <cell r="E58" t="str">
            <v>GIC</v>
          </cell>
        </row>
        <row r="59">
          <cell r="E59" t="str">
            <v>GIC</v>
          </cell>
        </row>
        <row r="60">
          <cell r="E60" t="str">
            <v>GIC3</v>
          </cell>
        </row>
        <row r="61">
          <cell r="E61" t="str">
            <v>GIC</v>
          </cell>
        </row>
        <row r="62">
          <cell r="E62" t="str">
            <v>GIC</v>
          </cell>
        </row>
        <row r="63">
          <cell r="E63" t="str">
            <v>GIC3</v>
          </cell>
        </row>
        <row r="64">
          <cell r="E64" t="str">
            <v>GIC1</v>
          </cell>
        </row>
        <row r="65">
          <cell r="E65" t="str">
            <v>GIC2</v>
          </cell>
        </row>
        <row r="66">
          <cell r="E66" t="str">
            <v>GIC</v>
          </cell>
        </row>
        <row r="67">
          <cell r="E67" t="str">
            <v>GIC2</v>
          </cell>
        </row>
        <row r="68">
          <cell r="E68" t="str">
            <v>GIC</v>
          </cell>
        </row>
        <row r="69">
          <cell r="E69" t="str">
            <v>GIC</v>
          </cell>
        </row>
        <row r="70">
          <cell r="E70" t="str">
            <v>GIC</v>
          </cell>
        </row>
        <row r="71">
          <cell r="E71" t="str">
            <v>GIC2</v>
          </cell>
        </row>
        <row r="72">
          <cell r="E72" t="str">
            <v>GIC1</v>
          </cell>
        </row>
        <row r="73">
          <cell r="E73" t="str">
            <v>GIC3</v>
          </cell>
        </row>
        <row r="74">
          <cell r="E74" t="str">
            <v>GIC</v>
          </cell>
        </row>
        <row r="75">
          <cell r="E75" t="str">
            <v>정기예금</v>
          </cell>
        </row>
        <row r="76">
          <cell r="E76" t="str">
            <v>정기예금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  <row r="90">
          <cell r="E90" t="str">
            <v>정기예금</v>
          </cell>
        </row>
        <row r="91">
          <cell r="E91" t="str">
            <v>정기예금</v>
          </cell>
        </row>
      </sheetData>
      <sheetData sheetId="9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ELB/DLB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</v>
          </cell>
        </row>
        <row r="27">
          <cell r="E27" t="str">
            <v>DLB</v>
          </cell>
        </row>
        <row r="28">
          <cell r="E28" t="str">
            <v>ELB</v>
          </cell>
        </row>
        <row r="29">
          <cell r="E29" t="str">
            <v>DLB</v>
          </cell>
        </row>
        <row r="30">
          <cell r="E30" t="str">
            <v>ELB/ DLB</v>
          </cell>
        </row>
        <row r="31">
          <cell r="E31" t="str">
            <v>ELB</v>
          </cell>
        </row>
        <row r="32">
          <cell r="E32" t="str">
            <v>ELB/DLB</v>
          </cell>
        </row>
        <row r="33">
          <cell r="E33" t="str">
            <v>ELB</v>
          </cell>
        </row>
        <row r="34">
          <cell r="E34" t="str">
            <v>발행어음(예금)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정기예금</v>
          </cell>
        </row>
        <row r="50">
          <cell r="E50" t="str">
            <v>정기예금</v>
          </cell>
        </row>
        <row r="51">
          <cell r="E51" t="str">
            <v>정기예금</v>
          </cell>
        </row>
        <row r="52">
          <cell r="E52" t="str">
            <v>GIC1</v>
          </cell>
        </row>
        <row r="53">
          <cell r="E53" t="str">
            <v>GIC2</v>
          </cell>
        </row>
        <row r="54">
          <cell r="E54" t="str">
            <v>GIC</v>
          </cell>
        </row>
        <row r="55">
          <cell r="E55" t="str">
            <v>GIC1</v>
          </cell>
        </row>
        <row r="56">
          <cell r="E56" t="str">
            <v>GIC2</v>
          </cell>
        </row>
        <row r="57">
          <cell r="E57" t="str">
            <v>GIC</v>
          </cell>
        </row>
        <row r="58">
          <cell r="E58" t="str">
            <v>GIC2</v>
          </cell>
        </row>
        <row r="59">
          <cell r="E59" t="str">
            <v>GIC</v>
          </cell>
        </row>
        <row r="60">
          <cell r="E60" t="str">
            <v>GIC2</v>
          </cell>
        </row>
        <row r="61">
          <cell r="E61" t="str">
            <v>GIC</v>
          </cell>
        </row>
        <row r="62">
          <cell r="E62" t="str">
            <v>GIC</v>
          </cell>
        </row>
        <row r="63">
          <cell r="E63" t="str">
            <v>GIC3</v>
          </cell>
        </row>
        <row r="64">
          <cell r="E64" t="str">
            <v>GIC</v>
          </cell>
        </row>
        <row r="65">
          <cell r="E65" t="str">
            <v>GIC</v>
          </cell>
        </row>
        <row r="66">
          <cell r="E66" t="str">
            <v>GIC3</v>
          </cell>
        </row>
        <row r="67">
          <cell r="E67" t="str">
            <v>GIC1</v>
          </cell>
        </row>
        <row r="68">
          <cell r="E68" t="str">
            <v>GIC2</v>
          </cell>
        </row>
        <row r="69">
          <cell r="E69" t="str">
            <v>GIC</v>
          </cell>
        </row>
        <row r="70">
          <cell r="E70" t="str">
            <v>GIC2</v>
          </cell>
        </row>
        <row r="71">
          <cell r="E71" t="str">
            <v>GIC</v>
          </cell>
        </row>
        <row r="72">
          <cell r="E72" t="str">
            <v>GIC</v>
          </cell>
        </row>
        <row r="73">
          <cell r="E73" t="str">
            <v>GIC</v>
          </cell>
        </row>
        <row r="74">
          <cell r="E74" t="str">
            <v>GIC2</v>
          </cell>
        </row>
        <row r="75">
          <cell r="E75" t="str">
            <v>GIC1</v>
          </cell>
        </row>
        <row r="76">
          <cell r="E76" t="str">
            <v>GIC3</v>
          </cell>
        </row>
        <row r="77">
          <cell r="E77" t="str">
            <v>GIC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  <row r="90">
          <cell r="E90" t="str">
            <v>정기예금</v>
          </cell>
        </row>
        <row r="91">
          <cell r="E91" t="str">
            <v>정기예금</v>
          </cell>
        </row>
      </sheetData>
      <sheetData sheetId="10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ELB/DLB</v>
          </cell>
        </row>
        <row r="20">
          <cell r="E20" t="str">
            <v>ELB/DLB</v>
          </cell>
        </row>
        <row r="21">
          <cell r="E21" t="str">
            <v>ELD</v>
          </cell>
        </row>
        <row r="22">
          <cell r="E22" t="str">
            <v>DLB</v>
          </cell>
        </row>
        <row r="23">
          <cell r="E23" t="str">
            <v>ELB</v>
          </cell>
        </row>
        <row r="24">
          <cell r="E24" t="str">
            <v>ELB</v>
          </cell>
        </row>
        <row r="25">
          <cell r="E25" t="str">
            <v>ELB</v>
          </cell>
        </row>
        <row r="26">
          <cell r="E26" t="str">
            <v>ELB</v>
          </cell>
        </row>
        <row r="27">
          <cell r="E27" t="str">
            <v>ELB</v>
          </cell>
        </row>
        <row r="28">
          <cell r="E28" t="str">
            <v>DLB</v>
          </cell>
        </row>
        <row r="29">
          <cell r="E29" t="str">
            <v>ELB</v>
          </cell>
        </row>
        <row r="30">
          <cell r="E30" t="str">
            <v>DLB</v>
          </cell>
        </row>
        <row r="31">
          <cell r="E31" t="str">
            <v>ELB/ DLB</v>
          </cell>
        </row>
        <row r="32">
          <cell r="E32" t="str">
            <v>ELB</v>
          </cell>
        </row>
        <row r="33">
          <cell r="E33" t="str">
            <v>ELB/DLB</v>
          </cell>
        </row>
        <row r="34">
          <cell r="E34" t="str">
            <v>ELB</v>
          </cell>
        </row>
        <row r="35">
          <cell r="E35" t="str">
            <v>발행어음(예금)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정기예금</v>
          </cell>
        </row>
        <row r="50">
          <cell r="E50" t="str">
            <v>정기예금</v>
          </cell>
        </row>
        <row r="51">
          <cell r="E51" t="str">
            <v>정기예금</v>
          </cell>
        </row>
        <row r="52">
          <cell r="E52" t="str">
            <v>정기예금</v>
          </cell>
        </row>
        <row r="53">
          <cell r="E53" t="str">
            <v>GIC1</v>
          </cell>
        </row>
        <row r="54">
          <cell r="E54" t="str">
            <v>GIC2</v>
          </cell>
        </row>
        <row r="55">
          <cell r="E55" t="str">
            <v>GIC</v>
          </cell>
        </row>
        <row r="56">
          <cell r="E56" t="str">
            <v>GIC1</v>
          </cell>
        </row>
        <row r="57">
          <cell r="E57" t="str">
            <v>GIC2</v>
          </cell>
        </row>
        <row r="58">
          <cell r="E58" t="str">
            <v>GIC</v>
          </cell>
        </row>
        <row r="59">
          <cell r="E59" t="str">
            <v>GIC2</v>
          </cell>
        </row>
        <row r="60">
          <cell r="E60" t="str">
            <v>GIC</v>
          </cell>
        </row>
        <row r="61">
          <cell r="E61" t="str">
            <v>GIC2</v>
          </cell>
        </row>
        <row r="62">
          <cell r="E62" t="str">
            <v>GIC</v>
          </cell>
        </row>
        <row r="63">
          <cell r="E63" t="str">
            <v>GIC</v>
          </cell>
        </row>
        <row r="64">
          <cell r="E64" t="str">
            <v>GIC3</v>
          </cell>
        </row>
        <row r="65">
          <cell r="E65" t="str">
            <v>GIC</v>
          </cell>
        </row>
        <row r="66">
          <cell r="E66" t="str">
            <v>GIC</v>
          </cell>
        </row>
        <row r="67">
          <cell r="E67" t="str">
            <v>GIC3</v>
          </cell>
        </row>
        <row r="68">
          <cell r="E68" t="str">
            <v>GIC1</v>
          </cell>
        </row>
        <row r="69">
          <cell r="E69" t="str">
            <v>GIC2</v>
          </cell>
        </row>
        <row r="70">
          <cell r="E70" t="str">
            <v>GIC</v>
          </cell>
        </row>
        <row r="71">
          <cell r="E71" t="str">
            <v>GIC2</v>
          </cell>
        </row>
        <row r="72">
          <cell r="E72" t="str">
            <v>GIC</v>
          </cell>
        </row>
        <row r="73">
          <cell r="E73" t="str">
            <v>GIC</v>
          </cell>
        </row>
        <row r="74">
          <cell r="E74" t="str">
            <v>GIC</v>
          </cell>
        </row>
        <row r="75">
          <cell r="E75" t="str">
            <v>GIC2</v>
          </cell>
        </row>
        <row r="76">
          <cell r="E76" t="str">
            <v>GIC1</v>
          </cell>
        </row>
        <row r="77">
          <cell r="E77" t="str">
            <v>GIC2</v>
          </cell>
        </row>
        <row r="78">
          <cell r="E78" t="str">
            <v>GIC3</v>
          </cell>
        </row>
        <row r="79">
          <cell r="E79" t="str">
            <v>GIC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  <row r="90">
          <cell r="E90" t="str">
            <v>정기예금</v>
          </cell>
        </row>
        <row r="91">
          <cell r="E91" t="str">
            <v>정기예금</v>
          </cell>
        </row>
      </sheetData>
      <sheetData sheetId="11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ELB/DLB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 xml:space="preserve"> </v>
          </cell>
        </row>
        <row r="24">
          <cell r="E24" t="str">
            <v>ELB</v>
          </cell>
        </row>
        <row r="25">
          <cell r="E25" t="str">
            <v>ELB/DLB</v>
          </cell>
        </row>
        <row r="26">
          <cell r="E26" t="str">
            <v>ELB/DLB</v>
          </cell>
        </row>
        <row r="27">
          <cell r="E27" t="str">
            <v>ELB/ DLB</v>
          </cell>
        </row>
        <row r="28">
          <cell r="E28" t="str">
            <v>ELB</v>
          </cell>
        </row>
        <row r="29">
          <cell r="E29" t="str">
            <v>ELB/DLB</v>
          </cell>
        </row>
        <row r="30">
          <cell r="E30" t="str">
            <v>ELB</v>
          </cell>
        </row>
        <row r="31">
          <cell r="E31" t="str">
            <v>발행어음(예금)</v>
          </cell>
        </row>
        <row r="32">
          <cell r="E32" t="str">
            <v>정기예금</v>
          </cell>
        </row>
        <row r="33">
          <cell r="E33" t="str">
            <v>정기예금</v>
          </cell>
        </row>
        <row r="34">
          <cell r="E34" t="str">
            <v>정기예금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GIC1</v>
          </cell>
        </row>
        <row r="50">
          <cell r="E50" t="str">
            <v>GIC2</v>
          </cell>
        </row>
        <row r="51">
          <cell r="E51" t="str">
            <v>GIC</v>
          </cell>
        </row>
        <row r="52">
          <cell r="E52" t="str">
            <v>GIC1</v>
          </cell>
        </row>
        <row r="53">
          <cell r="E53" t="str">
            <v>GIC2</v>
          </cell>
        </row>
        <row r="54">
          <cell r="E54" t="str">
            <v>GIC</v>
          </cell>
        </row>
        <row r="55">
          <cell r="E55" t="str">
            <v>GIC2</v>
          </cell>
        </row>
        <row r="56">
          <cell r="E56" t="str">
            <v>GIC</v>
          </cell>
        </row>
        <row r="57">
          <cell r="E57" t="str">
            <v>GIC</v>
          </cell>
        </row>
        <row r="58">
          <cell r="E58" t="str">
            <v>GIC</v>
          </cell>
        </row>
        <row r="59">
          <cell r="E59" t="str">
            <v>GIC</v>
          </cell>
        </row>
        <row r="60">
          <cell r="E60" t="str">
            <v>GIC</v>
          </cell>
        </row>
        <row r="61">
          <cell r="E61" t="str">
            <v>GIC3</v>
          </cell>
        </row>
        <row r="62">
          <cell r="E62" t="str">
            <v>GIC1</v>
          </cell>
        </row>
        <row r="63">
          <cell r="E63" t="str">
            <v>GIC2</v>
          </cell>
        </row>
        <row r="64">
          <cell r="E64" t="str">
            <v>GIC</v>
          </cell>
        </row>
        <row r="65">
          <cell r="E65" t="str">
            <v>GIC</v>
          </cell>
        </row>
        <row r="66">
          <cell r="E66" t="str">
            <v>GIC</v>
          </cell>
        </row>
        <row r="67">
          <cell r="E67" t="str">
            <v>GIC</v>
          </cell>
        </row>
        <row r="68">
          <cell r="E68" t="str">
            <v>GIC1</v>
          </cell>
        </row>
        <row r="69">
          <cell r="E69" t="str">
            <v>GIC3</v>
          </cell>
        </row>
        <row r="70">
          <cell r="E70" t="str">
            <v>GIC</v>
          </cell>
        </row>
        <row r="71">
          <cell r="E71" t="str">
            <v>정기예금</v>
          </cell>
        </row>
        <row r="72">
          <cell r="E72" t="str">
            <v>정기예금</v>
          </cell>
        </row>
        <row r="73">
          <cell r="E73" t="str">
            <v>정기예금</v>
          </cell>
        </row>
        <row r="74">
          <cell r="E74" t="str">
            <v>정기예금</v>
          </cell>
        </row>
        <row r="75">
          <cell r="E75" t="str">
            <v>정기예금</v>
          </cell>
        </row>
        <row r="76">
          <cell r="E76" t="str">
            <v>정기예금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  <row r="90">
          <cell r="E90" t="str">
            <v>정기예금</v>
          </cell>
        </row>
        <row r="91">
          <cell r="E91" t="str">
            <v>정기예금</v>
          </cell>
        </row>
      </sheetData>
      <sheetData sheetId="12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ELB/DLB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ELB/DLB</v>
          </cell>
        </row>
        <row r="28">
          <cell r="E28" t="str">
            <v>ELB/ DLB</v>
          </cell>
        </row>
        <row r="29">
          <cell r="E29" t="str">
            <v>ELB</v>
          </cell>
        </row>
        <row r="30">
          <cell r="E30" t="str">
            <v>ELB/DLB</v>
          </cell>
        </row>
        <row r="31">
          <cell r="E31" t="str">
            <v>ELB</v>
          </cell>
        </row>
        <row r="32">
          <cell r="E32" t="str">
            <v>발행어음(예금)</v>
          </cell>
        </row>
      </sheetData>
      <sheetData sheetId="13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ELB/DLB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ELB/DLB</v>
          </cell>
        </row>
        <row r="28">
          <cell r="E28" t="str">
            <v>ELB/ DLB</v>
          </cell>
        </row>
        <row r="29">
          <cell r="E29" t="str">
            <v>ELB</v>
          </cell>
        </row>
        <row r="30">
          <cell r="E30" t="str">
            <v>ELB/DLB</v>
          </cell>
        </row>
        <row r="31">
          <cell r="E31" t="str">
            <v>ELB</v>
          </cell>
        </row>
        <row r="32">
          <cell r="E32" t="str">
            <v>발행어음(예금)</v>
          </cell>
        </row>
        <row r="33">
          <cell r="E33" t="str">
            <v>정기예금</v>
          </cell>
        </row>
        <row r="34">
          <cell r="E34" t="str">
            <v>정기예금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정기예금</v>
          </cell>
        </row>
        <row r="50">
          <cell r="E50" t="str">
            <v>GIC</v>
          </cell>
        </row>
        <row r="51">
          <cell r="E51" t="str">
            <v>GIC</v>
          </cell>
        </row>
        <row r="52">
          <cell r="E52" t="str">
            <v>GIC</v>
          </cell>
        </row>
        <row r="53">
          <cell r="E53" t="str">
            <v>GIC</v>
          </cell>
        </row>
        <row r="54">
          <cell r="E54" t="str">
            <v>GIC2</v>
          </cell>
        </row>
        <row r="55">
          <cell r="E55" t="str">
            <v>GIC</v>
          </cell>
        </row>
        <row r="56">
          <cell r="E56" t="str">
            <v>GIC</v>
          </cell>
        </row>
        <row r="57">
          <cell r="E57" t="str">
            <v>GIC</v>
          </cell>
        </row>
        <row r="58">
          <cell r="E58" t="str">
            <v>GIC</v>
          </cell>
        </row>
        <row r="59">
          <cell r="E59" t="str">
            <v>GIC</v>
          </cell>
        </row>
        <row r="60">
          <cell r="E60" t="str">
            <v>GIC3</v>
          </cell>
        </row>
        <row r="61">
          <cell r="E61" t="str">
            <v>GIC</v>
          </cell>
        </row>
        <row r="62">
          <cell r="E62" t="str">
            <v>GIC</v>
          </cell>
        </row>
        <row r="63">
          <cell r="E63" t="str">
            <v>GIC</v>
          </cell>
        </row>
        <row r="64">
          <cell r="E64" t="str">
            <v>GIC</v>
          </cell>
        </row>
        <row r="65">
          <cell r="E65" t="str">
            <v>GIC</v>
          </cell>
        </row>
        <row r="66">
          <cell r="E66" t="str">
            <v>GIC1</v>
          </cell>
        </row>
        <row r="67">
          <cell r="E67" t="str">
            <v>GIC3</v>
          </cell>
        </row>
        <row r="68">
          <cell r="E68" t="str">
            <v>GIC</v>
          </cell>
        </row>
        <row r="69">
          <cell r="E69" t="str">
            <v>정기예금</v>
          </cell>
        </row>
        <row r="70">
          <cell r="E70" t="str">
            <v>정기예금</v>
          </cell>
        </row>
        <row r="71">
          <cell r="E71" t="str">
            <v>정기예금</v>
          </cell>
        </row>
        <row r="72">
          <cell r="E72" t="str">
            <v>정기예금</v>
          </cell>
        </row>
        <row r="73">
          <cell r="E73" t="str">
            <v>정기예금</v>
          </cell>
        </row>
        <row r="74">
          <cell r="E74" t="str">
            <v>정기예금</v>
          </cell>
        </row>
        <row r="75">
          <cell r="E75" t="str">
            <v>정기예금</v>
          </cell>
        </row>
        <row r="76">
          <cell r="E76" t="str">
            <v>정기예금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</sheetData>
      <sheetData sheetId="14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ELB/DLB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ELB/DLB</v>
          </cell>
        </row>
        <row r="28">
          <cell r="E28" t="str">
            <v>ELB/ DLB</v>
          </cell>
        </row>
        <row r="29">
          <cell r="E29" t="str">
            <v>ELB</v>
          </cell>
        </row>
        <row r="30">
          <cell r="E30" t="str">
            <v>ELB/DLB</v>
          </cell>
        </row>
        <row r="31">
          <cell r="E31" t="str">
            <v>ELB</v>
          </cell>
        </row>
        <row r="32">
          <cell r="E32" t="str">
            <v>발행어음(예금)</v>
          </cell>
        </row>
        <row r="33">
          <cell r="E33" t="str">
            <v>정기예금</v>
          </cell>
        </row>
        <row r="34">
          <cell r="E34" t="str">
            <v>정기예금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정기예금</v>
          </cell>
        </row>
        <row r="50">
          <cell r="E50" t="str">
            <v>GIC</v>
          </cell>
        </row>
        <row r="51">
          <cell r="E51" t="str">
            <v>GIC</v>
          </cell>
        </row>
        <row r="52">
          <cell r="E52" t="str">
            <v>GIC</v>
          </cell>
        </row>
        <row r="53">
          <cell r="E53" t="str">
            <v>GIC</v>
          </cell>
        </row>
        <row r="54">
          <cell r="E54" t="str">
            <v>GIC2</v>
          </cell>
        </row>
        <row r="55">
          <cell r="E55" t="str">
            <v>GIC</v>
          </cell>
        </row>
        <row r="56">
          <cell r="E56" t="str">
            <v>GIC</v>
          </cell>
        </row>
        <row r="57">
          <cell r="E57" t="str">
            <v>GIC</v>
          </cell>
        </row>
        <row r="58">
          <cell r="E58" t="str">
            <v>GIC</v>
          </cell>
        </row>
        <row r="59">
          <cell r="E59" t="str">
            <v>GIC</v>
          </cell>
        </row>
        <row r="60">
          <cell r="E60" t="str">
            <v>GIC3</v>
          </cell>
        </row>
        <row r="61">
          <cell r="E61" t="str">
            <v>GIC</v>
          </cell>
        </row>
        <row r="62">
          <cell r="E62" t="str">
            <v>GIC</v>
          </cell>
        </row>
        <row r="63">
          <cell r="E63" t="str">
            <v>GIC</v>
          </cell>
        </row>
        <row r="64">
          <cell r="E64" t="str">
            <v>GIC</v>
          </cell>
        </row>
        <row r="65">
          <cell r="E65" t="str">
            <v>GIC</v>
          </cell>
        </row>
        <row r="66">
          <cell r="E66" t="str">
            <v>GIC1</v>
          </cell>
        </row>
        <row r="67">
          <cell r="E67" t="str">
            <v>GIC3</v>
          </cell>
        </row>
        <row r="68">
          <cell r="E68" t="str">
            <v>GIC</v>
          </cell>
        </row>
        <row r="69">
          <cell r="E69" t="str">
            <v>정기예금</v>
          </cell>
        </row>
        <row r="70">
          <cell r="E70" t="str">
            <v>정기예금</v>
          </cell>
        </row>
        <row r="71">
          <cell r="E71" t="str">
            <v>정기예금</v>
          </cell>
        </row>
        <row r="72">
          <cell r="E72" t="str">
            <v>정기예금</v>
          </cell>
        </row>
        <row r="73">
          <cell r="E73" t="str">
            <v>정기예금</v>
          </cell>
        </row>
        <row r="74">
          <cell r="E74" t="str">
            <v>정기예금</v>
          </cell>
        </row>
        <row r="75">
          <cell r="E75" t="str">
            <v>정기예금</v>
          </cell>
        </row>
        <row r="76">
          <cell r="E76" t="str">
            <v>정기예금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</sheetData>
      <sheetData sheetId="15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ELB/DLB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ELB/DLB</v>
          </cell>
        </row>
        <row r="28">
          <cell r="E28" t="str">
            <v>ELB/ DLB</v>
          </cell>
        </row>
        <row r="29">
          <cell r="E29" t="str">
            <v>ELB</v>
          </cell>
        </row>
        <row r="30">
          <cell r="E30" t="str">
            <v>ELB/DLB</v>
          </cell>
        </row>
        <row r="31">
          <cell r="E31" t="str">
            <v>ELB</v>
          </cell>
        </row>
        <row r="32">
          <cell r="E32" t="str">
            <v>발행어음(예금)</v>
          </cell>
        </row>
        <row r="33">
          <cell r="E33" t="str">
            <v>정기예금</v>
          </cell>
        </row>
        <row r="34">
          <cell r="E34" t="str">
            <v>정기예금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정기예금</v>
          </cell>
        </row>
        <row r="50">
          <cell r="E50" t="str">
            <v>GIC</v>
          </cell>
        </row>
        <row r="51">
          <cell r="E51" t="str">
            <v>GIC</v>
          </cell>
        </row>
        <row r="52">
          <cell r="E52" t="str">
            <v>GIC</v>
          </cell>
        </row>
        <row r="53">
          <cell r="E53" t="str">
            <v>GIC</v>
          </cell>
        </row>
        <row r="54">
          <cell r="E54" t="str">
            <v>GIC2</v>
          </cell>
        </row>
        <row r="55">
          <cell r="E55" t="str">
            <v>GIC</v>
          </cell>
        </row>
        <row r="56">
          <cell r="E56" t="str">
            <v>GIC</v>
          </cell>
        </row>
        <row r="57">
          <cell r="E57" t="str">
            <v>GIC</v>
          </cell>
        </row>
        <row r="58">
          <cell r="E58" t="str">
            <v>GIC</v>
          </cell>
        </row>
        <row r="59">
          <cell r="E59" t="str">
            <v>GIC</v>
          </cell>
        </row>
        <row r="60">
          <cell r="E60" t="str">
            <v>GIC3</v>
          </cell>
        </row>
        <row r="61">
          <cell r="E61" t="str">
            <v>GIC</v>
          </cell>
        </row>
        <row r="62">
          <cell r="E62" t="str">
            <v>GIC</v>
          </cell>
        </row>
        <row r="63">
          <cell r="E63" t="str">
            <v>GIC</v>
          </cell>
        </row>
        <row r="64">
          <cell r="E64" t="str">
            <v>GIC</v>
          </cell>
        </row>
        <row r="65">
          <cell r="E65" t="str">
            <v>GIC</v>
          </cell>
        </row>
        <row r="66">
          <cell r="E66" t="str">
            <v>GIC1</v>
          </cell>
        </row>
        <row r="67">
          <cell r="E67" t="str">
            <v>GIC3</v>
          </cell>
        </row>
        <row r="68">
          <cell r="E68" t="str">
            <v>GIC</v>
          </cell>
        </row>
        <row r="69">
          <cell r="E69" t="str">
            <v>정기예금</v>
          </cell>
        </row>
        <row r="70">
          <cell r="E70" t="str">
            <v>정기예금</v>
          </cell>
        </row>
        <row r="71">
          <cell r="E71" t="str">
            <v>정기예금</v>
          </cell>
        </row>
        <row r="72">
          <cell r="E72" t="str">
            <v>정기예금</v>
          </cell>
        </row>
        <row r="73">
          <cell r="E73" t="str">
            <v>정기예금</v>
          </cell>
        </row>
        <row r="74">
          <cell r="E74" t="str">
            <v>정기예금</v>
          </cell>
        </row>
        <row r="75">
          <cell r="E75" t="str">
            <v>정기예금</v>
          </cell>
        </row>
        <row r="76">
          <cell r="E76" t="str">
            <v>정기예금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</sheetData>
      <sheetData sheetId="16"/>
      <sheetData sheetId="17"/>
      <sheetData sheetId="18"/>
      <sheetData sheetId="19"/>
      <sheetData sheetId="20"/>
      <sheetData sheetId="21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ELB/DLB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</v>
          </cell>
        </row>
        <row r="28">
          <cell r="E28" t="str">
            <v>DLB</v>
          </cell>
        </row>
        <row r="29">
          <cell r="E29" t="str">
            <v>ELB/ DLB</v>
          </cell>
        </row>
        <row r="30">
          <cell r="E30" t="str">
            <v>ELB</v>
          </cell>
        </row>
        <row r="31">
          <cell r="E31" t="str">
            <v>ELB/DLB</v>
          </cell>
        </row>
        <row r="32">
          <cell r="E32" t="str">
            <v>ELB</v>
          </cell>
        </row>
        <row r="33">
          <cell r="E33" t="str">
            <v>발행어음(예금)</v>
          </cell>
        </row>
        <row r="34">
          <cell r="E34" t="str">
            <v>정기예금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정기예금</v>
          </cell>
        </row>
        <row r="50">
          <cell r="E50" t="str">
            <v>정기예금</v>
          </cell>
        </row>
        <row r="51">
          <cell r="E51" t="str">
            <v>GIC</v>
          </cell>
        </row>
        <row r="52">
          <cell r="E52" t="str">
            <v>GIC</v>
          </cell>
        </row>
        <row r="53">
          <cell r="E53" t="str">
            <v>GIC</v>
          </cell>
        </row>
        <row r="54">
          <cell r="E54" t="str">
            <v>GIC</v>
          </cell>
        </row>
        <row r="55">
          <cell r="E55" t="str">
            <v>GIC2</v>
          </cell>
        </row>
        <row r="56">
          <cell r="E56" t="str">
            <v>GIC</v>
          </cell>
        </row>
        <row r="57">
          <cell r="E57" t="str">
            <v>GIC</v>
          </cell>
        </row>
        <row r="58">
          <cell r="E58" t="str">
            <v>GIC</v>
          </cell>
        </row>
        <row r="59">
          <cell r="E59" t="str">
            <v>GIC</v>
          </cell>
        </row>
        <row r="60">
          <cell r="E60" t="str">
            <v>GIC</v>
          </cell>
        </row>
        <row r="61">
          <cell r="E61" t="str">
            <v>GIC3</v>
          </cell>
        </row>
        <row r="62">
          <cell r="E62" t="str">
            <v>GIC</v>
          </cell>
        </row>
        <row r="63">
          <cell r="E63" t="str">
            <v>GIC</v>
          </cell>
        </row>
        <row r="64">
          <cell r="E64" t="str">
            <v>GIC</v>
          </cell>
        </row>
        <row r="65">
          <cell r="E65" t="str">
            <v>GIC</v>
          </cell>
        </row>
        <row r="66">
          <cell r="E66" t="str">
            <v>GIC</v>
          </cell>
        </row>
        <row r="67">
          <cell r="E67" t="str">
            <v>GIC1</v>
          </cell>
        </row>
        <row r="68">
          <cell r="E68" t="str">
            <v>GIC3</v>
          </cell>
        </row>
        <row r="69">
          <cell r="E69" t="str">
            <v>GIC</v>
          </cell>
        </row>
        <row r="70">
          <cell r="E70" t="str">
            <v>정기예금</v>
          </cell>
        </row>
        <row r="71">
          <cell r="E71" t="str">
            <v>정기예금</v>
          </cell>
        </row>
        <row r="72">
          <cell r="E72" t="str">
            <v>정기예금</v>
          </cell>
        </row>
        <row r="73">
          <cell r="E73" t="str">
            <v>정기예금</v>
          </cell>
        </row>
        <row r="74">
          <cell r="E74" t="str">
            <v>정기예금</v>
          </cell>
        </row>
        <row r="75">
          <cell r="E75" t="str">
            <v>정기예금</v>
          </cell>
        </row>
        <row r="76">
          <cell r="E76" t="str">
            <v>정기예금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  <row r="90">
          <cell r="E90" t="str">
            <v>정기예금</v>
          </cell>
        </row>
        <row r="91">
          <cell r="E91" t="str">
            <v>정기예금</v>
          </cell>
        </row>
      </sheetData>
      <sheetData sheetId="22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</v>
          </cell>
        </row>
        <row r="27">
          <cell r="E27" t="str">
            <v>DLB</v>
          </cell>
        </row>
        <row r="28">
          <cell r="E28" t="str">
            <v>ELB</v>
          </cell>
        </row>
        <row r="29">
          <cell r="E29" t="str">
            <v>DLB</v>
          </cell>
        </row>
        <row r="30">
          <cell r="E30" t="str">
            <v>ELB/ DLB</v>
          </cell>
        </row>
        <row r="31">
          <cell r="E31" t="str">
            <v>ELB</v>
          </cell>
        </row>
        <row r="32">
          <cell r="E32" t="str">
            <v>ELB/DLB</v>
          </cell>
        </row>
        <row r="33">
          <cell r="E33" t="str">
            <v>ELB</v>
          </cell>
        </row>
        <row r="34">
          <cell r="E34" t="str">
            <v>발행어음(예금)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정기예금</v>
          </cell>
        </row>
        <row r="50">
          <cell r="E50" t="str">
            <v>정기예금</v>
          </cell>
        </row>
        <row r="51">
          <cell r="E51" t="str">
            <v>정기예금</v>
          </cell>
        </row>
        <row r="52">
          <cell r="E52" t="str">
            <v>GIC</v>
          </cell>
        </row>
        <row r="53">
          <cell r="E53" t="str">
            <v>GIC</v>
          </cell>
        </row>
        <row r="54">
          <cell r="E54" t="str">
            <v>GIC</v>
          </cell>
        </row>
        <row r="55">
          <cell r="E55" t="str">
            <v>GIC</v>
          </cell>
        </row>
        <row r="56">
          <cell r="E56" t="str">
            <v>GIC2</v>
          </cell>
        </row>
        <row r="57">
          <cell r="E57" t="str">
            <v>GIC</v>
          </cell>
        </row>
        <row r="58">
          <cell r="E58" t="str">
            <v>GIC</v>
          </cell>
        </row>
        <row r="59">
          <cell r="E59" t="str">
            <v>GIC</v>
          </cell>
        </row>
        <row r="60">
          <cell r="E60" t="str">
            <v>GIC</v>
          </cell>
        </row>
        <row r="61">
          <cell r="E61" t="str">
            <v>GIC</v>
          </cell>
        </row>
        <row r="62">
          <cell r="E62" t="str">
            <v>GIC3</v>
          </cell>
        </row>
        <row r="63">
          <cell r="E63" t="str">
            <v>GIC</v>
          </cell>
        </row>
        <row r="64">
          <cell r="E64" t="str">
            <v>GIC</v>
          </cell>
        </row>
        <row r="65">
          <cell r="E65" t="str">
            <v>GIC</v>
          </cell>
        </row>
        <row r="66">
          <cell r="E66" t="str">
            <v>GIC</v>
          </cell>
        </row>
        <row r="67">
          <cell r="E67" t="str">
            <v>GIC</v>
          </cell>
        </row>
        <row r="68">
          <cell r="E68" t="str">
            <v>GIC1</v>
          </cell>
        </row>
        <row r="69">
          <cell r="E69" t="str">
            <v>GIC2</v>
          </cell>
        </row>
        <row r="70">
          <cell r="E70" t="str">
            <v>GIC3</v>
          </cell>
        </row>
        <row r="71">
          <cell r="E71" t="str">
            <v>GIC</v>
          </cell>
        </row>
        <row r="72">
          <cell r="E72" t="str">
            <v>정기예금</v>
          </cell>
        </row>
        <row r="73">
          <cell r="E73" t="str">
            <v>정기예금</v>
          </cell>
        </row>
        <row r="74">
          <cell r="E74" t="str">
            <v>정기예금</v>
          </cell>
        </row>
        <row r="75">
          <cell r="E75" t="str">
            <v>정기예금</v>
          </cell>
        </row>
        <row r="76">
          <cell r="E76" t="str">
            <v>정기예금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  <row r="90">
          <cell r="E90" t="str">
            <v>정기예금</v>
          </cell>
        </row>
        <row r="91">
          <cell r="E91" t="str">
            <v>정기예금</v>
          </cell>
        </row>
        <row r="92">
          <cell r="E92" t="str">
            <v>정기예금</v>
          </cell>
        </row>
        <row r="93">
          <cell r="E93" t="str">
            <v>정기예금</v>
          </cell>
        </row>
      </sheetData>
      <sheetData sheetId="23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ELB/DLB</v>
          </cell>
        </row>
        <row r="28">
          <cell r="E28" t="str">
            <v>ELB/ DLB</v>
          </cell>
        </row>
        <row r="29">
          <cell r="E29" t="str">
            <v>ELB</v>
          </cell>
        </row>
        <row r="30">
          <cell r="E30" t="str">
            <v>ELB/DLB</v>
          </cell>
        </row>
        <row r="31">
          <cell r="E31" t="str">
            <v>ELB</v>
          </cell>
        </row>
        <row r="32">
          <cell r="E32" t="str">
            <v>발행어음(예금)</v>
          </cell>
        </row>
        <row r="33">
          <cell r="E33" t="str">
            <v>정기예금</v>
          </cell>
        </row>
        <row r="34">
          <cell r="E34" t="str">
            <v>정기예금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정기예금</v>
          </cell>
        </row>
        <row r="50">
          <cell r="E50" t="str">
            <v>GIC</v>
          </cell>
        </row>
        <row r="51">
          <cell r="E51" t="str">
            <v>GIC</v>
          </cell>
        </row>
        <row r="52">
          <cell r="E52" t="str">
            <v>GIC</v>
          </cell>
        </row>
        <row r="53">
          <cell r="E53" t="str">
            <v>GIC</v>
          </cell>
        </row>
        <row r="54">
          <cell r="E54" t="str">
            <v>GIC2</v>
          </cell>
        </row>
        <row r="55">
          <cell r="E55" t="str">
            <v>GIC</v>
          </cell>
        </row>
        <row r="56">
          <cell r="E56" t="str">
            <v>GIC</v>
          </cell>
        </row>
        <row r="57">
          <cell r="E57" t="str">
            <v>GIC</v>
          </cell>
        </row>
        <row r="58">
          <cell r="E58" t="str">
            <v>GIC</v>
          </cell>
        </row>
        <row r="59">
          <cell r="E59" t="str">
            <v>GIC</v>
          </cell>
        </row>
        <row r="60">
          <cell r="E60" t="str">
            <v>GIC</v>
          </cell>
        </row>
        <row r="61">
          <cell r="E61" t="str">
            <v>GIC</v>
          </cell>
        </row>
        <row r="62">
          <cell r="E62" t="str">
            <v>GIC</v>
          </cell>
        </row>
        <row r="63">
          <cell r="E63" t="str">
            <v>GIC</v>
          </cell>
        </row>
        <row r="64">
          <cell r="E64" t="str">
            <v>GIC</v>
          </cell>
        </row>
        <row r="65">
          <cell r="E65" t="str">
            <v>GIC1</v>
          </cell>
        </row>
        <row r="66">
          <cell r="E66" t="str">
            <v>GIC3</v>
          </cell>
        </row>
        <row r="67">
          <cell r="E67" t="str">
            <v>GIC</v>
          </cell>
        </row>
        <row r="68">
          <cell r="E68" t="str">
            <v>정기예금</v>
          </cell>
        </row>
        <row r="69">
          <cell r="E69" t="str">
            <v>정기예금</v>
          </cell>
        </row>
        <row r="70">
          <cell r="E70" t="str">
            <v>정기예금</v>
          </cell>
        </row>
        <row r="71">
          <cell r="E71" t="str">
            <v>정기예금</v>
          </cell>
        </row>
        <row r="72">
          <cell r="E72" t="str">
            <v>정기예금</v>
          </cell>
        </row>
        <row r="73">
          <cell r="E73" t="str">
            <v>정기예금</v>
          </cell>
        </row>
        <row r="74">
          <cell r="E74" t="str">
            <v>정기예금</v>
          </cell>
        </row>
        <row r="75">
          <cell r="E75" t="str">
            <v>정기예금</v>
          </cell>
        </row>
        <row r="76">
          <cell r="E76" t="str">
            <v>정기예금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</sheetData>
      <sheetData sheetId="24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ELB/DLB</v>
          </cell>
        </row>
        <row r="28">
          <cell r="E28" t="str">
            <v>ELB/ DLB</v>
          </cell>
        </row>
        <row r="29">
          <cell r="E29" t="str">
            <v>ELB</v>
          </cell>
        </row>
        <row r="30">
          <cell r="E30" t="str">
            <v>ELB/DLB</v>
          </cell>
        </row>
        <row r="31">
          <cell r="E31" t="str">
            <v>ELB</v>
          </cell>
        </row>
        <row r="32">
          <cell r="E32" t="str">
            <v>발행어음(예금)</v>
          </cell>
        </row>
        <row r="33">
          <cell r="E33" t="str">
            <v>정기예금</v>
          </cell>
        </row>
        <row r="34">
          <cell r="E34" t="str">
            <v>정기예금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정기예금</v>
          </cell>
        </row>
        <row r="50">
          <cell r="E50" t="str">
            <v>GIC</v>
          </cell>
        </row>
        <row r="51">
          <cell r="E51" t="str">
            <v>GIC</v>
          </cell>
        </row>
        <row r="52">
          <cell r="E52" t="str">
            <v>GIC</v>
          </cell>
        </row>
        <row r="53">
          <cell r="E53" t="str">
            <v>GIC</v>
          </cell>
        </row>
        <row r="54">
          <cell r="E54" t="str">
            <v>GIC2</v>
          </cell>
        </row>
        <row r="55">
          <cell r="E55" t="str">
            <v>GIC</v>
          </cell>
        </row>
        <row r="56">
          <cell r="E56" t="str">
            <v>GIC</v>
          </cell>
        </row>
        <row r="57">
          <cell r="E57" t="str">
            <v>GIC</v>
          </cell>
        </row>
        <row r="58">
          <cell r="E58" t="str">
            <v>GIC</v>
          </cell>
        </row>
        <row r="59">
          <cell r="E59" t="str">
            <v>GIC</v>
          </cell>
        </row>
        <row r="60">
          <cell r="E60" t="str">
            <v>GIC</v>
          </cell>
        </row>
        <row r="61">
          <cell r="E61" t="str">
            <v>GIC</v>
          </cell>
        </row>
        <row r="62">
          <cell r="E62" t="str">
            <v>GIC</v>
          </cell>
        </row>
        <row r="63">
          <cell r="E63" t="str">
            <v>GIC</v>
          </cell>
        </row>
        <row r="64">
          <cell r="E64" t="str">
            <v>GIC</v>
          </cell>
        </row>
        <row r="65">
          <cell r="E65" t="str">
            <v>GIC1</v>
          </cell>
        </row>
        <row r="66">
          <cell r="E66" t="str">
            <v>GIC3</v>
          </cell>
        </row>
        <row r="67">
          <cell r="E67" t="str">
            <v>GIC</v>
          </cell>
        </row>
        <row r="68">
          <cell r="E68" t="str">
            <v>정기예금</v>
          </cell>
        </row>
        <row r="69">
          <cell r="E69" t="str">
            <v>정기예금</v>
          </cell>
        </row>
        <row r="70">
          <cell r="E70" t="str">
            <v>정기예금</v>
          </cell>
        </row>
        <row r="71">
          <cell r="E71" t="str">
            <v>정기예금</v>
          </cell>
        </row>
        <row r="72">
          <cell r="E72" t="str">
            <v>정기예금</v>
          </cell>
        </row>
        <row r="73">
          <cell r="E73" t="str">
            <v>정기예금</v>
          </cell>
        </row>
        <row r="74">
          <cell r="E74" t="str">
            <v>정기예금</v>
          </cell>
        </row>
        <row r="75">
          <cell r="E75" t="str">
            <v>정기예금</v>
          </cell>
        </row>
        <row r="76">
          <cell r="E76" t="str">
            <v>정기예금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</sheetData>
      <sheetData sheetId="25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ELB/DLB</v>
          </cell>
        </row>
        <row r="28">
          <cell r="E28" t="str">
            <v>ELB/ DLB</v>
          </cell>
        </row>
        <row r="29">
          <cell r="E29" t="str">
            <v>ELB</v>
          </cell>
        </row>
        <row r="30">
          <cell r="E30" t="str">
            <v>ELB/DLB</v>
          </cell>
        </row>
        <row r="31">
          <cell r="E31" t="str">
            <v>ELB</v>
          </cell>
        </row>
        <row r="32">
          <cell r="E32" t="str">
            <v>발행어음(예금)</v>
          </cell>
        </row>
        <row r="33">
          <cell r="E33" t="str">
            <v>정기예금</v>
          </cell>
        </row>
        <row r="34">
          <cell r="E34" t="str">
            <v>정기예금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정기예금</v>
          </cell>
        </row>
        <row r="50">
          <cell r="E50" t="str">
            <v>GIC</v>
          </cell>
        </row>
        <row r="51">
          <cell r="E51" t="str">
            <v>GIC</v>
          </cell>
        </row>
        <row r="52">
          <cell r="E52" t="str">
            <v>GIC</v>
          </cell>
        </row>
        <row r="53">
          <cell r="E53" t="str">
            <v>GIC</v>
          </cell>
        </row>
        <row r="54">
          <cell r="E54" t="str">
            <v>GIC2</v>
          </cell>
        </row>
        <row r="55">
          <cell r="E55" t="str">
            <v>GIC</v>
          </cell>
        </row>
        <row r="56">
          <cell r="E56" t="str">
            <v>GIC</v>
          </cell>
        </row>
        <row r="57">
          <cell r="E57" t="str">
            <v>GIC</v>
          </cell>
        </row>
        <row r="58">
          <cell r="E58" t="str">
            <v>GIC</v>
          </cell>
        </row>
        <row r="59">
          <cell r="E59" t="str">
            <v>GIC</v>
          </cell>
        </row>
        <row r="60">
          <cell r="E60" t="str">
            <v>GIC</v>
          </cell>
        </row>
        <row r="61">
          <cell r="E61" t="str">
            <v>GIC</v>
          </cell>
        </row>
        <row r="62">
          <cell r="E62" t="str">
            <v>GIC</v>
          </cell>
        </row>
        <row r="63">
          <cell r="E63" t="str">
            <v>GIC</v>
          </cell>
        </row>
        <row r="64">
          <cell r="E64" t="str">
            <v>GIC</v>
          </cell>
        </row>
        <row r="65">
          <cell r="E65" t="str">
            <v>GIC1</v>
          </cell>
        </row>
        <row r="66">
          <cell r="E66" t="str">
            <v>GIC3</v>
          </cell>
        </row>
        <row r="67">
          <cell r="E67" t="str">
            <v>GIC</v>
          </cell>
        </row>
        <row r="68">
          <cell r="E68" t="str">
            <v>정기예금</v>
          </cell>
        </row>
        <row r="69">
          <cell r="E69" t="str">
            <v>정기예금</v>
          </cell>
        </row>
        <row r="70">
          <cell r="E70" t="str">
            <v>정기예금</v>
          </cell>
        </row>
        <row r="71">
          <cell r="E71" t="str">
            <v>정기예금</v>
          </cell>
        </row>
        <row r="72">
          <cell r="E72" t="str">
            <v>정기예금</v>
          </cell>
        </row>
        <row r="73">
          <cell r="E73" t="str">
            <v>정기예금</v>
          </cell>
        </row>
        <row r="74">
          <cell r="E74" t="str">
            <v>정기예금</v>
          </cell>
        </row>
        <row r="75">
          <cell r="E75" t="str">
            <v>정기예금</v>
          </cell>
        </row>
        <row r="76">
          <cell r="E76" t="str">
            <v>정기예금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</sheetData>
      <sheetData sheetId="26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ELB/DLB</v>
          </cell>
        </row>
        <row r="28">
          <cell r="E28" t="str">
            <v>ELB/ DLB</v>
          </cell>
        </row>
        <row r="29">
          <cell r="E29" t="str">
            <v>ELB</v>
          </cell>
        </row>
        <row r="30">
          <cell r="E30" t="str">
            <v>ELB/DLB</v>
          </cell>
        </row>
        <row r="31">
          <cell r="E31" t="str">
            <v>ELB</v>
          </cell>
        </row>
        <row r="32">
          <cell r="E32" t="str">
            <v>발행어음(예금)</v>
          </cell>
        </row>
        <row r="33">
          <cell r="E33" t="str">
            <v>정기예금</v>
          </cell>
        </row>
        <row r="34">
          <cell r="E34" t="str">
            <v>정기예금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정기예금</v>
          </cell>
        </row>
        <row r="50">
          <cell r="E50" t="str">
            <v>GIC</v>
          </cell>
        </row>
        <row r="51">
          <cell r="E51" t="str">
            <v>GIC</v>
          </cell>
        </row>
        <row r="52">
          <cell r="E52" t="str">
            <v>GIC</v>
          </cell>
        </row>
        <row r="53">
          <cell r="E53" t="str">
            <v>GIC</v>
          </cell>
        </row>
        <row r="54">
          <cell r="E54" t="str">
            <v>GIC2</v>
          </cell>
        </row>
        <row r="55">
          <cell r="E55" t="str">
            <v>GIC</v>
          </cell>
        </row>
        <row r="56">
          <cell r="E56" t="str">
            <v>GIC</v>
          </cell>
        </row>
        <row r="57">
          <cell r="E57" t="str">
            <v>GIC</v>
          </cell>
        </row>
        <row r="58">
          <cell r="E58" t="str">
            <v>GIC</v>
          </cell>
        </row>
        <row r="59">
          <cell r="E59" t="str">
            <v>GIC</v>
          </cell>
        </row>
        <row r="60">
          <cell r="E60" t="str">
            <v>GIC</v>
          </cell>
        </row>
        <row r="61">
          <cell r="E61" t="str">
            <v>GIC</v>
          </cell>
        </row>
        <row r="62">
          <cell r="E62" t="str">
            <v>GIC</v>
          </cell>
        </row>
        <row r="63">
          <cell r="E63" t="str">
            <v>GIC</v>
          </cell>
        </row>
        <row r="64">
          <cell r="E64" t="str">
            <v>GIC</v>
          </cell>
        </row>
        <row r="65">
          <cell r="E65" t="str">
            <v>GIC1</v>
          </cell>
        </row>
        <row r="66">
          <cell r="E66" t="str">
            <v>GIC3</v>
          </cell>
        </row>
        <row r="67">
          <cell r="E67" t="str">
            <v>GIC</v>
          </cell>
        </row>
        <row r="68">
          <cell r="E68" t="str">
            <v>정기예금</v>
          </cell>
        </row>
        <row r="69">
          <cell r="E69" t="str">
            <v>정기예금</v>
          </cell>
        </row>
        <row r="70">
          <cell r="E70" t="str">
            <v>정기예금</v>
          </cell>
        </row>
        <row r="71">
          <cell r="E71" t="str">
            <v>정기예금</v>
          </cell>
        </row>
        <row r="72">
          <cell r="E72" t="str">
            <v>정기예금</v>
          </cell>
        </row>
        <row r="73">
          <cell r="E73" t="str">
            <v>정기예금</v>
          </cell>
        </row>
        <row r="74">
          <cell r="E74" t="str">
            <v>정기예금</v>
          </cell>
        </row>
        <row r="75">
          <cell r="E75" t="str">
            <v>정기예금</v>
          </cell>
        </row>
        <row r="76">
          <cell r="E76" t="str">
            <v>정기예금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</sheetData>
      <sheetData sheetId="27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ELB/DLB</v>
          </cell>
        </row>
        <row r="28">
          <cell r="E28" t="str">
            <v>ELB/ DLB</v>
          </cell>
        </row>
        <row r="29">
          <cell r="E29" t="str">
            <v>ELB</v>
          </cell>
        </row>
        <row r="30">
          <cell r="E30" t="str">
            <v>ELB/DLB</v>
          </cell>
        </row>
        <row r="31">
          <cell r="E31" t="str">
            <v>ELB/DLB</v>
          </cell>
        </row>
        <row r="32">
          <cell r="E32" t="str">
            <v>발행어음(예금)</v>
          </cell>
        </row>
        <row r="33">
          <cell r="E33" t="str">
            <v>정기예금</v>
          </cell>
        </row>
        <row r="34">
          <cell r="E34" t="str">
            <v>정기예금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정기예금</v>
          </cell>
        </row>
        <row r="50">
          <cell r="E50" t="str">
            <v>GIC</v>
          </cell>
        </row>
        <row r="51">
          <cell r="E51" t="str">
            <v>GIC</v>
          </cell>
        </row>
        <row r="52">
          <cell r="E52" t="str">
            <v>GIC</v>
          </cell>
        </row>
        <row r="53">
          <cell r="E53" t="str">
            <v>GIC</v>
          </cell>
        </row>
        <row r="54">
          <cell r="E54" t="str">
            <v>GIC2</v>
          </cell>
        </row>
        <row r="55">
          <cell r="E55" t="str">
            <v>GIC</v>
          </cell>
        </row>
        <row r="56">
          <cell r="E56" t="str">
            <v>GIC</v>
          </cell>
        </row>
        <row r="57">
          <cell r="E57" t="str">
            <v>GIC</v>
          </cell>
        </row>
        <row r="58">
          <cell r="E58" t="str">
            <v>GIC</v>
          </cell>
        </row>
        <row r="59">
          <cell r="E59" t="str">
            <v>GIC</v>
          </cell>
        </row>
        <row r="60">
          <cell r="E60" t="str">
            <v>GIC</v>
          </cell>
        </row>
        <row r="61">
          <cell r="E61" t="str">
            <v>GIC</v>
          </cell>
        </row>
        <row r="62">
          <cell r="E62" t="str">
            <v>GIC</v>
          </cell>
        </row>
        <row r="63">
          <cell r="E63" t="str">
            <v>GIC</v>
          </cell>
        </row>
        <row r="64">
          <cell r="E64" t="str">
            <v>GIC</v>
          </cell>
        </row>
        <row r="65">
          <cell r="E65" t="str">
            <v>GIC1</v>
          </cell>
        </row>
        <row r="66">
          <cell r="E66" t="str">
            <v>GIC3</v>
          </cell>
        </row>
        <row r="67">
          <cell r="E67" t="str">
            <v>GIC</v>
          </cell>
        </row>
        <row r="68">
          <cell r="E68" t="str">
            <v>정기예금</v>
          </cell>
        </row>
        <row r="69">
          <cell r="E69" t="str">
            <v>정기예금</v>
          </cell>
        </row>
        <row r="70">
          <cell r="E70" t="str">
            <v>정기예금</v>
          </cell>
        </row>
        <row r="71">
          <cell r="E71" t="str">
            <v>정기예금</v>
          </cell>
        </row>
        <row r="72">
          <cell r="E72" t="str">
            <v>정기예금</v>
          </cell>
        </row>
        <row r="73">
          <cell r="E73" t="str">
            <v>정기예금</v>
          </cell>
        </row>
        <row r="74">
          <cell r="E74" t="str">
            <v>정기예금</v>
          </cell>
        </row>
        <row r="75">
          <cell r="E75" t="str">
            <v>정기예금</v>
          </cell>
        </row>
        <row r="76">
          <cell r="E76" t="str">
            <v>정기예금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</sheetData>
      <sheetData sheetId="28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DLB</v>
          </cell>
        </row>
        <row r="25">
          <cell r="E25" t="str">
            <v>ELB</v>
          </cell>
        </row>
        <row r="26">
          <cell r="E26" t="str">
            <v>ELB/DLB</v>
          </cell>
        </row>
        <row r="27">
          <cell r="E27" t="str">
            <v>ELB/DLB</v>
          </cell>
        </row>
        <row r="28">
          <cell r="E28" t="str">
            <v>ELB/ DLB</v>
          </cell>
        </row>
        <row r="29">
          <cell r="E29" t="str">
            <v>ELB</v>
          </cell>
        </row>
        <row r="30">
          <cell r="E30" t="str">
            <v>ELB/DLB</v>
          </cell>
        </row>
        <row r="31">
          <cell r="E31" t="str">
            <v>ELB</v>
          </cell>
        </row>
        <row r="33">
          <cell r="E33" t="str">
            <v>정기예금</v>
          </cell>
        </row>
        <row r="34">
          <cell r="E34" t="str">
            <v>정기예금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정기예금</v>
          </cell>
        </row>
        <row r="50">
          <cell r="E50" t="str">
            <v>GIC</v>
          </cell>
        </row>
        <row r="51">
          <cell r="E51" t="str">
            <v>GIC</v>
          </cell>
        </row>
        <row r="52">
          <cell r="E52" t="str">
            <v>GIC</v>
          </cell>
        </row>
        <row r="53">
          <cell r="E53" t="str">
            <v>GIC</v>
          </cell>
        </row>
        <row r="54">
          <cell r="E54" t="str">
            <v>GIC2</v>
          </cell>
        </row>
        <row r="55">
          <cell r="E55" t="str">
            <v>GIC</v>
          </cell>
        </row>
        <row r="56">
          <cell r="E56" t="str">
            <v>GIC</v>
          </cell>
        </row>
        <row r="57">
          <cell r="E57" t="str">
            <v>GIC</v>
          </cell>
        </row>
        <row r="58">
          <cell r="E58" t="str">
            <v>GIC</v>
          </cell>
        </row>
        <row r="59">
          <cell r="E59" t="str">
            <v>GIC</v>
          </cell>
        </row>
        <row r="60">
          <cell r="E60" t="str">
            <v>GIC</v>
          </cell>
        </row>
        <row r="61">
          <cell r="E61" t="str">
            <v>GIC</v>
          </cell>
        </row>
        <row r="62">
          <cell r="E62" t="str">
            <v>GIC</v>
          </cell>
        </row>
        <row r="63">
          <cell r="E63" t="str">
            <v>GIC</v>
          </cell>
        </row>
        <row r="64">
          <cell r="E64" t="str">
            <v>GIC</v>
          </cell>
        </row>
        <row r="65">
          <cell r="E65" t="str">
            <v>GIC1</v>
          </cell>
        </row>
        <row r="66">
          <cell r="E66" t="str">
            <v>GIC3</v>
          </cell>
        </row>
        <row r="67">
          <cell r="E67" t="str">
            <v>GIC</v>
          </cell>
        </row>
        <row r="68">
          <cell r="E68" t="str">
            <v>정기예금</v>
          </cell>
        </row>
        <row r="69">
          <cell r="E69" t="str">
            <v>정기예금</v>
          </cell>
        </row>
        <row r="70">
          <cell r="E70" t="str">
            <v>정기예금</v>
          </cell>
        </row>
        <row r="71">
          <cell r="E71" t="str">
            <v>정기예금</v>
          </cell>
        </row>
        <row r="72">
          <cell r="E72" t="str">
            <v>정기예금</v>
          </cell>
        </row>
        <row r="73">
          <cell r="E73" t="str">
            <v>정기예금</v>
          </cell>
        </row>
        <row r="74">
          <cell r="E74" t="str">
            <v>정기예금</v>
          </cell>
        </row>
        <row r="75">
          <cell r="E75" t="str">
            <v>정기예금</v>
          </cell>
        </row>
        <row r="76">
          <cell r="E76" t="str">
            <v>정기예금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</sheetData>
      <sheetData sheetId="29">
        <row r="22">
          <cell r="F22" t="str">
            <v>N</v>
          </cell>
        </row>
        <row r="28">
          <cell r="F28" t="str">
            <v>N</v>
          </cell>
        </row>
        <row r="44">
          <cell r="F44" t="str">
            <v>N</v>
          </cell>
        </row>
        <row r="46">
          <cell r="F46" t="str">
            <v>자산</v>
          </cell>
        </row>
        <row r="48">
          <cell r="F48" t="str">
            <v>자산</v>
          </cell>
        </row>
        <row r="50">
          <cell r="F50" t="str">
            <v>N</v>
          </cell>
        </row>
        <row r="63">
          <cell r="F63" t="str">
            <v>N</v>
          </cell>
        </row>
      </sheetData>
      <sheetData sheetId="30">
        <row r="22">
          <cell r="F22" t="str">
            <v>N</v>
          </cell>
        </row>
        <row r="28">
          <cell r="F28" t="str">
            <v>N</v>
          </cell>
        </row>
        <row r="44">
          <cell r="F44" t="str">
            <v>N</v>
          </cell>
        </row>
        <row r="46">
          <cell r="F46" t="str">
            <v>자산</v>
          </cell>
        </row>
        <row r="48">
          <cell r="F48" t="str">
            <v>자산</v>
          </cell>
        </row>
        <row r="50">
          <cell r="F50" t="str">
            <v>N</v>
          </cell>
        </row>
        <row r="62">
          <cell r="F62" t="str">
            <v>N</v>
          </cell>
        </row>
      </sheetData>
      <sheetData sheetId="31">
        <row r="22">
          <cell r="F22" t="str">
            <v>N</v>
          </cell>
        </row>
        <row r="28">
          <cell r="F28" t="str">
            <v>N</v>
          </cell>
        </row>
        <row r="44">
          <cell r="F44" t="str">
            <v>N</v>
          </cell>
        </row>
        <row r="46">
          <cell r="F46" t="str">
            <v>자산</v>
          </cell>
        </row>
        <row r="48">
          <cell r="F48" t="str">
            <v>자산</v>
          </cell>
        </row>
        <row r="50">
          <cell r="F50" t="str">
            <v>N</v>
          </cell>
        </row>
        <row r="63">
          <cell r="F63" t="str">
            <v>N</v>
          </cell>
        </row>
        <row r="67">
          <cell r="F67" t="str">
            <v>N</v>
          </cell>
        </row>
      </sheetData>
      <sheetData sheetId="32">
        <row r="22">
          <cell r="F22" t="str">
            <v>N</v>
          </cell>
        </row>
        <row r="28">
          <cell r="F28" t="str">
            <v>N</v>
          </cell>
        </row>
        <row r="44">
          <cell r="F44" t="str">
            <v>N</v>
          </cell>
        </row>
        <row r="45">
          <cell r="F45" t="str">
            <v>N</v>
          </cell>
        </row>
        <row r="46">
          <cell r="F46" t="str">
            <v>자산</v>
          </cell>
        </row>
        <row r="48">
          <cell r="F48" t="str">
            <v>자산</v>
          </cell>
        </row>
        <row r="50">
          <cell r="F50" t="str">
            <v>N</v>
          </cell>
        </row>
        <row r="63">
          <cell r="F63" t="str">
            <v>N</v>
          </cell>
        </row>
        <row r="67">
          <cell r="F67" t="str">
            <v>N</v>
          </cell>
        </row>
      </sheetData>
      <sheetData sheetId="33">
        <row r="22">
          <cell r="F22" t="str">
            <v>N</v>
          </cell>
        </row>
        <row r="27">
          <cell r="F27" t="str">
            <v>N</v>
          </cell>
        </row>
        <row r="43">
          <cell r="F43" t="str">
            <v>N</v>
          </cell>
        </row>
        <row r="44">
          <cell r="F44" t="str">
            <v>N</v>
          </cell>
        </row>
        <row r="45">
          <cell r="F45" t="str">
            <v>자산</v>
          </cell>
        </row>
        <row r="46">
          <cell r="F46" t="str">
            <v>자산</v>
          </cell>
        </row>
        <row r="47">
          <cell r="F47" t="str">
            <v>자산</v>
          </cell>
        </row>
        <row r="49">
          <cell r="F49" t="str">
            <v>N</v>
          </cell>
        </row>
        <row r="62">
          <cell r="F62" t="str">
            <v>N</v>
          </cell>
        </row>
        <row r="66">
          <cell r="F66" t="str">
            <v>N</v>
          </cell>
        </row>
      </sheetData>
      <sheetData sheetId="34">
        <row r="11">
          <cell r="E11" t="str">
            <v>ELB</v>
          </cell>
        </row>
        <row r="12">
          <cell r="E12" t="str">
            <v>ELB</v>
          </cell>
        </row>
        <row r="13">
          <cell r="E13" t="str">
            <v>ELB</v>
          </cell>
        </row>
        <row r="14">
          <cell r="E14" t="str">
            <v>ELB</v>
          </cell>
        </row>
        <row r="15">
          <cell r="E15" t="str">
            <v>ELB</v>
          </cell>
        </row>
        <row r="16">
          <cell r="E16" t="str">
            <v>ELB</v>
          </cell>
        </row>
        <row r="17">
          <cell r="E17" t="str">
            <v>ELB</v>
          </cell>
        </row>
        <row r="18">
          <cell r="E18" t="str">
            <v>ELB</v>
          </cell>
        </row>
        <row r="19">
          <cell r="E19" t="str">
            <v>ELB</v>
          </cell>
        </row>
        <row r="20">
          <cell r="E20" t="str">
            <v>ELB/DLB</v>
          </cell>
        </row>
        <row r="21">
          <cell r="E21" t="str">
            <v>ELB/DLB</v>
          </cell>
        </row>
        <row r="22">
          <cell r="E22" t="str">
            <v>ELB</v>
          </cell>
        </row>
        <row r="23">
          <cell r="E23" t="str">
            <v>ELB</v>
          </cell>
        </row>
        <row r="24">
          <cell r="E24" t="str">
            <v>ELB</v>
          </cell>
        </row>
        <row r="25">
          <cell r="E25" t="str">
            <v>ELB/DLB</v>
          </cell>
        </row>
        <row r="26">
          <cell r="E26" t="str">
            <v>ELB</v>
          </cell>
        </row>
        <row r="27">
          <cell r="E27" t="str">
            <v>DLB</v>
          </cell>
        </row>
        <row r="28">
          <cell r="E28" t="str">
            <v>ELB</v>
          </cell>
        </row>
        <row r="29">
          <cell r="E29" t="str">
            <v>ELB</v>
          </cell>
        </row>
        <row r="30">
          <cell r="E30" t="str">
            <v>ELB</v>
          </cell>
        </row>
        <row r="31">
          <cell r="E31" t="str">
            <v>ELB/DLB</v>
          </cell>
        </row>
        <row r="32">
          <cell r="E32" t="str">
            <v>발행어음(예금)</v>
          </cell>
        </row>
        <row r="33">
          <cell r="E33" t="str">
            <v>정기예금</v>
          </cell>
        </row>
        <row r="34">
          <cell r="E34" t="str">
            <v>정기예금</v>
          </cell>
        </row>
        <row r="35">
          <cell r="E35" t="str">
            <v>정기예금</v>
          </cell>
        </row>
        <row r="36">
          <cell r="E36" t="str">
            <v>정기예금</v>
          </cell>
        </row>
        <row r="37">
          <cell r="E37" t="str">
            <v>정기예금</v>
          </cell>
        </row>
        <row r="38">
          <cell r="E38" t="str">
            <v>정기예금</v>
          </cell>
        </row>
        <row r="39">
          <cell r="E39" t="str">
            <v>정기예금</v>
          </cell>
        </row>
        <row r="40">
          <cell r="E40" t="str">
            <v>정기예금</v>
          </cell>
        </row>
        <row r="41">
          <cell r="E41" t="str">
            <v>정기예금</v>
          </cell>
        </row>
        <row r="42">
          <cell r="E42" t="str">
            <v>정기예금</v>
          </cell>
        </row>
        <row r="43">
          <cell r="E43" t="str">
            <v>정기예금</v>
          </cell>
        </row>
        <row r="44">
          <cell r="E44" t="str">
            <v>정기예금</v>
          </cell>
        </row>
        <row r="45">
          <cell r="E45" t="str">
            <v>정기예금</v>
          </cell>
        </row>
        <row r="46">
          <cell r="E46" t="str">
            <v>정기예금</v>
          </cell>
        </row>
        <row r="47">
          <cell r="E47" t="str">
            <v>정기예금</v>
          </cell>
        </row>
        <row r="48">
          <cell r="E48" t="str">
            <v>정기예금</v>
          </cell>
        </row>
        <row r="49">
          <cell r="E49" t="str">
            <v>정기예금</v>
          </cell>
        </row>
        <row r="50">
          <cell r="E50" t="str">
            <v>GIC</v>
          </cell>
        </row>
        <row r="51">
          <cell r="E51" t="str">
            <v>GIC</v>
          </cell>
        </row>
        <row r="52">
          <cell r="E52" t="str">
            <v>GIC</v>
          </cell>
        </row>
        <row r="53">
          <cell r="E53" t="str">
            <v>GIC</v>
          </cell>
        </row>
        <row r="54">
          <cell r="E54" t="str">
            <v>GIC</v>
          </cell>
        </row>
        <row r="55">
          <cell r="E55" t="str">
            <v>GIC</v>
          </cell>
        </row>
        <row r="56">
          <cell r="E56" t="str">
            <v>GIC</v>
          </cell>
        </row>
        <row r="57">
          <cell r="E57" t="str">
            <v>GIC</v>
          </cell>
        </row>
        <row r="58">
          <cell r="E58" t="str">
            <v>GIC</v>
          </cell>
        </row>
        <row r="59">
          <cell r="E59" t="str">
            <v>GIC</v>
          </cell>
        </row>
        <row r="60">
          <cell r="E60" t="str">
            <v>GIC</v>
          </cell>
        </row>
        <row r="61">
          <cell r="E61" t="str">
            <v>GIC</v>
          </cell>
        </row>
        <row r="62">
          <cell r="E62" t="str">
            <v>GIC</v>
          </cell>
        </row>
        <row r="63">
          <cell r="E63" t="str">
            <v>GIC</v>
          </cell>
        </row>
        <row r="64">
          <cell r="E64" t="str">
            <v>GIC</v>
          </cell>
        </row>
        <row r="65">
          <cell r="E65" t="str">
            <v>GIC1</v>
          </cell>
        </row>
        <row r="66">
          <cell r="E66" t="str">
            <v>GIC3</v>
          </cell>
        </row>
        <row r="67">
          <cell r="E67" t="str">
            <v>GIC</v>
          </cell>
        </row>
        <row r="68">
          <cell r="E68" t="str">
            <v>GIC</v>
          </cell>
        </row>
        <row r="69">
          <cell r="E69" t="str">
            <v>정기예금</v>
          </cell>
        </row>
        <row r="70">
          <cell r="E70" t="str">
            <v>정기예금</v>
          </cell>
        </row>
        <row r="71">
          <cell r="E71" t="str">
            <v>정기예금</v>
          </cell>
        </row>
        <row r="72">
          <cell r="E72" t="str">
            <v>정기예금</v>
          </cell>
        </row>
        <row r="73">
          <cell r="E73" t="str">
            <v>정기예금</v>
          </cell>
        </row>
        <row r="74">
          <cell r="E74" t="str">
            <v>정기예금</v>
          </cell>
        </row>
        <row r="75">
          <cell r="E75" t="str">
            <v>정기예금</v>
          </cell>
        </row>
        <row r="76">
          <cell r="E76" t="str">
            <v>정기예금</v>
          </cell>
        </row>
        <row r="77">
          <cell r="E77" t="str">
            <v>정기예금</v>
          </cell>
        </row>
        <row r="78">
          <cell r="E78" t="str">
            <v>정기예금</v>
          </cell>
        </row>
        <row r="79">
          <cell r="E79" t="str">
            <v>정기예금</v>
          </cell>
        </row>
        <row r="80">
          <cell r="E80" t="str">
            <v>정기예금</v>
          </cell>
        </row>
        <row r="81">
          <cell r="E81" t="str">
            <v>정기예금</v>
          </cell>
        </row>
        <row r="82">
          <cell r="E82" t="str">
            <v>정기예금</v>
          </cell>
        </row>
        <row r="83">
          <cell r="E83" t="str">
            <v>정기예금</v>
          </cell>
        </row>
        <row r="84">
          <cell r="E84" t="str">
            <v>정기예금</v>
          </cell>
        </row>
        <row r="85">
          <cell r="E85" t="str">
            <v>정기예금</v>
          </cell>
        </row>
        <row r="86">
          <cell r="E86" t="str">
            <v>정기예금</v>
          </cell>
        </row>
        <row r="87">
          <cell r="E87" t="str">
            <v>정기예금</v>
          </cell>
        </row>
        <row r="88">
          <cell r="E88" t="str">
            <v>정기예금</v>
          </cell>
        </row>
        <row r="89">
          <cell r="E89" t="str">
            <v>정기예금</v>
          </cell>
        </row>
        <row r="90">
          <cell r="E90" t="str">
            <v>정기예금</v>
          </cell>
        </row>
      </sheetData>
      <sheetData sheetId="35">
        <row r="11">
          <cell r="D11" t="str">
            <v>AA+</v>
          </cell>
        </row>
        <row r="12">
          <cell r="D12" t="str">
            <v>AA+</v>
          </cell>
        </row>
        <row r="13">
          <cell r="D13" t="str">
            <v>AA+</v>
          </cell>
        </row>
        <row r="14">
          <cell r="D14" t="str">
            <v>AA0</v>
          </cell>
        </row>
        <row r="15">
          <cell r="D15" t="str">
            <v>AA0</v>
          </cell>
        </row>
        <row r="16">
          <cell r="D16" t="str">
            <v>AA0</v>
          </cell>
        </row>
        <row r="17">
          <cell r="D17" t="str">
            <v>AA-</v>
          </cell>
        </row>
        <row r="18">
          <cell r="D18" t="str">
            <v>AA-</v>
          </cell>
        </row>
        <row r="19">
          <cell r="D19" t="str">
            <v>AA-</v>
          </cell>
        </row>
        <row r="20">
          <cell r="D20" t="str">
            <v>AA-</v>
          </cell>
        </row>
        <row r="22">
          <cell r="D22" t="str">
            <v>AA-</v>
          </cell>
        </row>
        <row r="24">
          <cell r="D24" t="str">
            <v>AA-</v>
          </cell>
        </row>
        <row r="25">
          <cell r="D25" t="str">
            <v>AA-</v>
          </cell>
        </row>
        <row r="26">
          <cell r="D26" t="str">
            <v>AA-</v>
          </cell>
        </row>
        <row r="27">
          <cell r="D27" t="str">
            <v>AA-</v>
          </cell>
        </row>
        <row r="28">
          <cell r="D28" t="str">
            <v>A+</v>
          </cell>
        </row>
        <row r="30">
          <cell r="D30" t="str">
            <v>A+</v>
          </cell>
        </row>
        <row r="32">
          <cell r="D32" t="str">
            <v>A+</v>
          </cell>
        </row>
        <row r="33">
          <cell r="D33" t="str">
            <v>A+</v>
          </cell>
        </row>
        <row r="34">
          <cell r="D34" t="str">
            <v>A0</v>
          </cell>
        </row>
        <row r="35">
          <cell r="D35" t="str">
            <v>A0</v>
          </cell>
        </row>
        <row r="37">
          <cell r="D37" t="str">
            <v>A+</v>
          </cell>
        </row>
        <row r="38">
          <cell r="B38" t="str">
            <v>은행</v>
          </cell>
        </row>
        <row r="55">
          <cell r="D55" t="str">
            <v>AAA</v>
          </cell>
        </row>
        <row r="56">
          <cell r="D56" t="str">
            <v>AAA</v>
          </cell>
        </row>
        <row r="57">
          <cell r="D57" t="str">
            <v>AAA</v>
          </cell>
        </row>
        <row r="58">
          <cell r="D58" t="str">
            <v>AA+</v>
          </cell>
        </row>
        <row r="59">
          <cell r="D59" t="str">
            <v>AA0</v>
          </cell>
        </row>
        <row r="60">
          <cell r="D60" t="str">
            <v>AA0</v>
          </cell>
        </row>
        <row r="61">
          <cell r="D61" t="str">
            <v>AA0</v>
          </cell>
        </row>
        <row r="62">
          <cell r="D62" t="str">
            <v>AA-</v>
          </cell>
        </row>
        <row r="63">
          <cell r="D63" t="str">
            <v>AA-</v>
          </cell>
        </row>
        <row r="64">
          <cell r="D64" t="str">
            <v>A+</v>
          </cell>
        </row>
        <row r="65">
          <cell r="D65" t="str">
            <v>AAA</v>
          </cell>
        </row>
        <row r="66">
          <cell r="D66" t="str">
            <v>AAA</v>
          </cell>
        </row>
        <row r="67">
          <cell r="D67" t="str">
            <v>AAA</v>
          </cell>
        </row>
        <row r="68">
          <cell r="D68" t="str">
            <v>AA+</v>
          </cell>
        </row>
        <row r="69">
          <cell r="D69" t="str">
            <v>AA+</v>
          </cell>
        </row>
        <row r="72">
          <cell r="D72" t="str">
            <v>AA0</v>
          </cell>
        </row>
        <row r="73">
          <cell r="D73" t="str">
            <v>A0</v>
          </cell>
        </row>
        <row r="74">
          <cell r="D74" t="str">
            <v>A0</v>
          </cell>
        </row>
        <row r="75">
          <cell r="D75" t="str">
            <v>A0</v>
          </cell>
        </row>
        <row r="76">
          <cell r="D76" t="str">
            <v>A0</v>
          </cell>
        </row>
        <row r="77">
          <cell r="D77" t="str">
            <v>A-</v>
          </cell>
        </row>
        <row r="78">
          <cell r="D78" t="str">
            <v>A-</v>
          </cell>
        </row>
        <row r="79">
          <cell r="D79" t="str">
            <v>A-</v>
          </cell>
        </row>
        <row r="80">
          <cell r="D80" t="str">
            <v>A-</v>
          </cell>
        </row>
        <row r="81">
          <cell r="D81" t="str">
            <v>A-</v>
          </cell>
        </row>
        <row r="82">
          <cell r="D82" t="str">
            <v>BBB+</v>
          </cell>
        </row>
        <row r="83">
          <cell r="D83" t="str">
            <v>BBB+</v>
          </cell>
        </row>
        <row r="84">
          <cell r="D84" t="str">
            <v>BBB+</v>
          </cell>
        </row>
        <row r="85">
          <cell r="D85" t="str">
            <v>BBB+</v>
          </cell>
        </row>
        <row r="86">
          <cell r="D86" t="str">
            <v>BBB+</v>
          </cell>
        </row>
        <row r="87">
          <cell r="D87" t="str">
            <v>BBB+</v>
          </cell>
        </row>
        <row r="88">
          <cell r="D88" t="str">
            <v>BBB+</v>
          </cell>
        </row>
        <row r="89">
          <cell r="D89" t="str">
            <v>BBB0</v>
          </cell>
        </row>
        <row r="90">
          <cell r="D90" t="str">
            <v>BBB0</v>
          </cell>
        </row>
        <row r="91">
          <cell r="D91" t="str">
            <v>BBB0</v>
          </cell>
        </row>
        <row r="92">
          <cell r="D92" t="str">
            <v>BBB0</v>
          </cell>
        </row>
        <row r="93">
          <cell r="D93" t="str">
            <v>BBB0</v>
          </cell>
        </row>
        <row r="94">
          <cell r="D94" t="str">
            <v>BBB-</v>
          </cell>
        </row>
        <row r="95">
          <cell r="D95" t="str">
            <v>BBB-</v>
          </cell>
        </row>
      </sheetData>
      <sheetData sheetId="36">
        <row r="6">
          <cell r="B6" t="str">
            <v>증권</v>
          </cell>
        </row>
        <row r="19">
          <cell r="B19" t="str">
            <v>은행</v>
          </cell>
        </row>
        <row r="37">
          <cell r="B37" t="str">
            <v>생보</v>
          </cell>
        </row>
        <row r="48">
          <cell r="B48" t="str">
            <v>손보</v>
          </cell>
        </row>
        <row r="54">
          <cell r="B54" t="str">
            <v>저축
은행</v>
          </cell>
        </row>
      </sheetData>
      <sheetData sheetId="37">
        <row r="6">
          <cell r="B6" t="str">
            <v>증권</v>
          </cell>
        </row>
        <row r="19">
          <cell r="B19" t="str">
            <v>은행</v>
          </cell>
        </row>
        <row r="37">
          <cell r="B37" t="str">
            <v>생보</v>
          </cell>
        </row>
        <row r="48">
          <cell r="B48" t="str">
            <v>손보</v>
          </cell>
        </row>
        <row r="54">
          <cell r="B54" t="str">
            <v>저축
은행</v>
          </cell>
        </row>
      </sheetData>
      <sheetData sheetId="38">
        <row r="6">
          <cell r="B6" t="str">
            <v>증권</v>
          </cell>
        </row>
        <row r="19">
          <cell r="B19" t="str">
            <v>은행</v>
          </cell>
        </row>
        <row r="37">
          <cell r="B37" t="str">
            <v>생보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39">
        <row r="6">
          <cell r="B6" t="str">
            <v>증권</v>
          </cell>
        </row>
        <row r="19">
          <cell r="B19" t="str">
            <v>은행</v>
          </cell>
        </row>
        <row r="37">
          <cell r="B37" t="str">
            <v>생보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40">
        <row r="6">
          <cell r="B6" t="str">
            <v>증권</v>
          </cell>
        </row>
        <row r="19">
          <cell r="B19" t="str">
            <v>은행</v>
          </cell>
        </row>
        <row r="37">
          <cell r="B37" t="str">
            <v>생보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41">
        <row r="6">
          <cell r="B6" t="str">
            <v>증권</v>
          </cell>
        </row>
        <row r="19">
          <cell r="B19" t="str">
            <v>은행</v>
          </cell>
        </row>
        <row r="37">
          <cell r="B37" t="str">
            <v>생보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42">
        <row r="6">
          <cell r="B6" t="str">
            <v>증권</v>
          </cell>
        </row>
        <row r="19">
          <cell r="B19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43">
        <row r="6">
          <cell r="B6" t="str">
            <v>증권</v>
          </cell>
        </row>
        <row r="25">
          <cell r="B25" t="str">
            <v>은행</v>
          </cell>
        </row>
        <row r="53">
          <cell r="B53" t="str">
            <v>손보</v>
          </cell>
        </row>
        <row r="60">
          <cell r="B60" t="str">
            <v>저축
은행</v>
          </cell>
        </row>
      </sheetData>
      <sheetData sheetId="44">
        <row r="6">
          <cell r="B6" t="str">
            <v>증권</v>
          </cell>
        </row>
        <row r="25">
          <cell r="B25" t="str">
            <v>은행</v>
          </cell>
        </row>
        <row r="43">
          <cell r="B43" t="str">
            <v>생보</v>
          </cell>
        </row>
        <row r="53">
          <cell r="B53" t="str">
            <v>손보</v>
          </cell>
        </row>
        <row r="60">
          <cell r="B60" t="str">
            <v>저축
은행</v>
          </cell>
        </row>
      </sheetData>
      <sheetData sheetId="45">
        <row r="6">
          <cell r="B6" t="str">
            <v>증권</v>
          </cell>
        </row>
        <row r="25">
          <cell r="B25" t="str">
            <v>은행</v>
          </cell>
        </row>
        <row r="43">
          <cell r="B43" t="str">
            <v>생보</v>
          </cell>
        </row>
        <row r="53">
          <cell r="B53" t="str">
            <v>손보</v>
          </cell>
        </row>
        <row r="60">
          <cell r="B60" t="str">
            <v>저축
은행</v>
          </cell>
        </row>
      </sheetData>
      <sheetData sheetId="46">
        <row r="6">
          <cell r="B6" t="str">
            <v>증권</v>
          </cell>
        </row>
        <row r="25">
          <cell r="B25" t="str">
            <v>은행</v>
          </cell>
        </row>
        <row r="43">
          <cell r="B43" t="str">
            <v>생보</v>
          </cell>
        </row>
        <row r="54">
          <cell r="B54" t="str">
            <v>손보</v>
          </cell>
        </row>
        <row r="61">
          <cell r="B61" t="str">
            <v>저축
은행</v>
          </cell>
        </row>
      </sheetData>
      <sheetData sheetId="47">
        <row r="6">
          <cell r="B6" t="str">
            <v>증권</v>
          </cell>
        </row>
        <row r="25">
          <cell r="B25" t="str">
            <v>은행</v>
          </cell>
        </row>
        <row r="40">
          <cell r="B40" t="str">
            <v>생보</v>
          </cell>
        </row>
        <row r="51">
          <cell r="B51" t="str">
            <v>손보</v>
          </cell>
        </row>
        <row r="58">
          <cell r="B58" t="str">
            <v>저축
은행</v>
          </cell>
        </row>
      </sheetData>
      <sheetData sheetId="48">
        <row r="6">
          <cell r="B6" t="str">
            <v>증권</v>
          </cell>
        </row>
        <row r="25">
          <cell r="B25" t="str">
            <v>은행</v>
          </cell>
        </row>
        <row r="40">
          <cell r="B40" t="str">
            <v>생보</v>
          </cell>
        </row>
        <row r="51">
          <cell r="B51" t="str">
            <v>손보</v>
          </cell>
        </row>
        <row r="58">
          <cell r="B58" t="str">
            <v>저축
은행</v>
          </cell>
        </row>
      </sheetData>
      <sheetData sheetId="49">
        <row r="6">
          <cell r="B6" t="str">
            <v>증권</v>
          </cell>
        </row>
        <row r="25">
          <cell r="B25" t="str">
            <v>은행</v>
          </cell>
        </row>
        <row r="40">
          <cell r="B40" t="str">
            <v>생보</v>
          </cell>
        </row>
        <row r="51">
          <cell r="B51" t="str">
            <v>손보</v>
          </cell>
        </row>
        <row r="58">
          <cell r="B58" t="str">
            <v>저축
은행</v>
          </cell>
        </row>
      </sheetData>
      <sheetData sheetId="50">
        <row r="6">
          <cell r="B6" t="str">
            <v>증권</v>
          </cell>
        </row>
        <row r="25">
          <cell r="B25" t="str">
            <v>은행</v>
          </cell>
        </row>
        <row r="40">
          <cell r="B40" t="str">
            <v>생보</v>
          </cell>
        </row>
        <row r="51">
          <cell r="B51" t="str">
            <v>손보</v>
          </cell>
        </row>
        <row r="57">
          <cell r="B57" t="str">
            <v>저축
은행</v>
          </cell>
        </row>
      </sheetData>
      <sheetData sheetId="51">
        <row r="6">
          <cell r="B6" t="str">
            <v>증권</v>
          </cell>
        </row>
        <row r="25">
          <cell r="B25" t="str">
            <v>은행</v>
          </cell>
        </row>
        <row r="40">
          <cell r="B40" t="str">
            <v>생보</v>
          </cell>
        </row>
        <row r="51">
          <cell r="B51" t="str">
            <v>손보</v>
          </cell>
        </row>
        <row r="57">
          <cell r="B57" t="str">
            <v>저축
은행</v>
          </cell>
        </row>
      </sheetData>
      <sheetData sheetId="52">
        <row r="6">
          <cell r="B6" t="str">
            <v>증권</v>
          </cell>
        </row>
        <row r="25">
          <cell r="B25" t="str">
            <v>은행</v>
          </cell>
        </row>
        <row r="40">
          <cell r="B40" t="str">
            <v>생보</v>
          </cell>
        </row>
        <row r="51">
          <cell r="B51" t="str">
            <v>손보</v>
          </cell>
        </row>
        <row r="57">
          <cell r="B57" t="str">
            <v>저축
은행</v>
          </cell>
        </row>
      </sheetData>
      <sheetData sheetId="53">
        <row r="6">
          <cell r="B6" t="str">
            <v>증권</v>
          </cell>
        </row>
        <row r="25">
          <cell r="B25" t="str">
            <v>은행</v>
          </cell>
        </row>
        <row r="40">
          <cell r="B40" t="str">
            <v>생보</v>
          </cell>
        </row>
        <row r="51">
          <cell r="B51" t="str">
            <v>손보</v>
          </cell>
        </row>
        <row r="57">
          <cell r="B57" t="str">
            <v>저축
은행</v>
          </cell>
        </row>
      </sheetData>
      <sheetData sheetId="54">
        <row r="6">
          <cell r="B6" t="str">
            <v>증권</v>
          </cell>
        </row>
        <row r="24">
          <cell r="B24" t="str">
            <v>은행</v>
          </cell>
        </row>
        <row r="39">
          <cell r="B39" t="str">
            <v>생보</v>
          </cell>
        </row>
        <row r="50">
          <cell r="B50" t="str">
            <v>손보</v>
          </cell>
        </row>
        <row r="56">
          <cell r="B56" t="str">
            <v>저축
은행</v>
          </cell>
        </row>
      </sheetData>
      <sheetData sheetId="55">
        <row r="6">
          <cell r="B6" t="str">
            <v>증권</v>
          </cell>
        </row>
        <row r="24">
          <cell r="B24" t="str">
            <v>은행</v>
          </cell>
        </row>
        <row r="39">
          <cell r="B39" t="str">
            <v>생보</v>
          </cell>
        </row>
        <row r="50">
          <cell r="B50" t="str">
            <v>손보</v>
          </cell>
        </row>
        <row r="56">
          <cell r="B56" t="str">
            <v>저축
은행</v>
          </cell>
        </row>
      </sheetData>
      <sheetData sheetId="56">
        <row r="6">
          <cell r="B6" t="str">
            <v>증권</v>
          </cell>
        </row>
        <row r="24">
          <cell r="B24" t="str">
            <v>은행</v>
          </cell>
        </row>
        <row r="39">
          <cell r="B39" t="str">
            <v>생보</v>
          </cell>
        </row>
        <row r="50">
          <cell r="B50" t="str">
            <v>손보</v>
          </cell>
        </row>
        <row r="56">
          <cell r="B56" t="str">
            <v>저축
은행</v>
          </cell>
        </row>
      </sheetData>
      <sheetData sheetId="57">
        <row r="6">
          <cell r="B6" t="str">
            <v>증권</v>
          </cell>
        </row>
        <row r="24">
          <cell r="B24" t="str">
            <v>은행</v>
          </cell>
        </row>
        <row r="39">
          <cell r="B39" t="str">
            <v>생보</v>
          </cell>
        </row>
        <row r="50">
          <cell r="B50" t="str">
            <v>손보</v>
          </cell>
        </row>
        <row r="56">
          <cell r="B56" t="str">
            <v>저축
은행</v>
          </cell>
        </row>
      </sheetData>
      <sheetData sheetId="58">
        <row r="6">
          <cell r="B6" t="str">
            <v>증권</v>
          </cell>
        </row>
        <row r="23">
          <cell r="B23" t="str">
            <v>은행</v>
          </cell>
        </row>
        <row r="37">
          <cell r="B37" t="str">
            <v>생보</v>
          </cell>
        </row>
        <row r="48">
          <cell r="B48" t="str">
            <v>손보</v>
          </cell>
        </row>
        <row r="54">
          <cell r="B54" t="str">
            <v>저축
은행</v>
          </cell>
        </row>
      </sheetData>
      <sheetData sheetId="59">
        <row r="6">
          <cell r="B6" t="str">
            <v>증권</v>
          </cell>
        </row>
        <row r="23">
          <cell r="B23" t="str">
            <v>은행</v>
          </cell>
        </row>
        <row r="37">
          <cell r="B37" t="str">
            <v>생보</v>
          </cell>
        </row>
        <row r="48">
          <cell r="B48" t="str">
            <v>손보</v>
          </cell>
        </row>
        <row r="54">
          <cell r="B54" t="str">
            <v>저축
은행</v>
          </cell>
        </row>
      </sheetData>
      <sheetData sheetId="60">
        <row r="6">
          <cell r="B6" t="str">
            <v>증권</v>
          </cell>
        </row>
        <row r="23">
          <cell r="B23" t="str">
            <v>은행</v>
          </cell>
        </row>
        <row r="37">
          <cell r="B37" t="str">
            <v>생보</v>
          </cell>
        </row>
        <row r="48">
          <cell r="B48" t="str">
            <v>손보</v>
          </cell>
        </row>
        <row r="54">
          <cell r="B54" t="str">
            <v>저축
은행</v>
          </cell>
        </row>
      </sheetData>
      <sheetData sheetId="61">
        <row r="6">
          <cell r="B6" t="str">
            <v>증권</v>
          </cell>
        </row>
        <row r="23">
          <cell r="B23" t="str">
            <v>은행</v>
          </cell>
        </row>
        <row r="37">
          <cell r="B37" t="str">
            <v>생보</v>
          </cell>
        </row>
        <row r="48">
          <cell r="B48" t="str">
            <v>손보</v>
          </cell>
        </row>
        <row r="54">
          <cell r="B54" t="str">
            <v>저축
은행</v>
          </cell>
        </row>
      </sheetData>
      <sheetData sheetId="62">
        <row r="6">
          <cell r="B6" t="str">
            <v>증권</v>
          </cell>
        </row>
        <row r="23">
          <cell r="B23" t="str">
            <v>은행</v>
          </cell>
        </row>
        <row r="37">
          <cell r="B37" t="str">
            <v>생보</v>
          </cell>
        </row>
        <row r="48">
          <cell r="B48" t="str">
            <v>손보</v>
          </cell>
        </row>
        <row r="54">
          <cell r="B54" t="str">
            <v>저축
은행</v>
          </cell>
        </row>
      </sheetData>
      <sheetData sheetId="63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64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65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66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</sheetData>
      <sheetData sheetId="67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</sheetData>
      <sheetData sheetId="68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</sheetData>
      <sheetData sheetId="69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</sheetData>
      <sheetData sheetId="70">
        <row r="6">
          <cell r="C6" t="str">
            <v>현대차</v>
          </cell>
        </row>
        <row r="7">
          <cell r="C7" t="str">
            <v>미래에셋대우</v>
          </cell>
        </row>
        <row r="8">
          <cell r="C8" t="str">
            <v>한국투자</v>
          </cell>
        </row>
        <row r="9">
          <cell r="C9" t="str">
            <v>삼성</v>
          </cell>
        </row>
        <row r="10">
          <cell r="C10" t="str">
            <v>NH</v>
          </cell>
        </row>
        <row r="11">
          <cell r="C11" t="str">
            <v>신한금융</v>
          </cell>
        </row>
        <row r="12">
          <cell r="C12" t="str">
            <v>KB</v>
          </cell>
        </row>
        <row r="13">
          <cell r="C13" t="str">
            <v>대신</v>
          </cell>
        </row>
        <row r="14">
          <cell r="C14" t="str">
            <v>하이투자</v>
          </cell>
        </row>
        <row r="15">
          <cell r="C15" t="str">
            <v>하나금융</v>
          </cell>
        </row>
        <row r="16">
          <cell r="C16" t="str">
            <v>신영</v>
          </cell>
        </row>
        <row r="17">
          <cell r="C17" t="str">
            <v>유안타</v>
          </cell>
        </row>
        <row r="18">
          <cell r="C18" t="str">
            <v>한화투자</v>
          </cell>
        </row>
        <row r="22">
          <cell r="C22" t="str">
            <v>신한</v>
          </cell>
        </row>
        <row r="23">
          <cell r="C23" t="str">
            <v>국민</v>
          </cell>
        </row>
        <row r="24">
          <cell r="C24" t="str">
            <v>우리</v>
          </cell>
        </row>
        <row r="25">
          <cell r="C25" t="str">
            <v>기업</v>
          </cell>
        </row>
        <row r="26">
          <cell r="C26" t="str">
            <v>KEB하나</v>
          </cell>
        </row>
        <row r="27">
          <cell r="C27" t="str">
            <v>농협</v>
          </cell>
        </row>
        <row r="28">
          <cell r="C28" t="str">
            <v>산업</v>
          </cell>
        </row>
        <row r="29">
          <cell r="C29" t="str">
            <v>부산</v>
          </cell>
        </row>
        <row r="30">
          <cell r="C30" t="str">
            <v>대구</v>
          </cell>
        </row>
        <row r="31">
          <cell r="C31" t="str">
            <v>경남</v>
          </cell>
        </row>
        <row r="32">
          <cell r="C32" t="str">
            <v>광주</v>
          </cell>
        </row>
        <row r="33">
          <cell r="C33" t="str">
            <v>제주</v>
          </cell>
        </row>
        <row r="34">
          <cell r="C34" t="str">
            <v>전북</v>
          </cell>
        </row>
        <row r="35">
          <cell r="C35" t="str">
            <v>우체국</v>
          </cell>
        </row>
        <row r="36">
          <cell r="C36" t="str">
            <v>삼성</v>
          </cell>
        </row>
        <row r="37">
          <cell r="C37" t="str">
            <v>교보</v>
          </cell>
        </row>
        <row r="38">
          <cell r="C38" t="str">
            <v>한화</v>
          </cell>
        </row>
        <row r="39">
          <cell r="C39" t="str">
            <v>미래에셋</v>
          </cell>
        </row>
        <row r="40">
          <cell r="C40" t="str">
            <v>푸본현대</v>
          </cell>
        </row>
        <row r="41">
          <cell r="C41" t="str">
            <v>IBK연금</v>
          </cell>
        </row>
        <row r="42">
          <cell r="C42" t="str">
            <v>흥국</v>
          </cell>
        </row>
        <row r="43">
          <cell r="C43" t="str">
            <v>신한</v>
          </cell>
        </row>
        <row r="44">
          <cell r="C44" t="str">
            <v>동양</v>
          </cell>
        </row>
        <row r="45">
          <cell r="C45" t="str">
            <v>DB</v>
          </cell>
        </row>
        <row r="46">
          <cell r="C46" t="str">
            <v>KDB</v>
          </cell>
        </row>
        <row r="47">
          <cell r="C47" t="str">
            <v>삼성</v>
          </cell>
        </row>
        <row r="48">
          <cell r="C48" t="str">
            <v>KB</v>
          </cell>
        </row>
        <row r="49">
          <cell r="C49" t="str">
            <v>롯데</v>
          </cell>
        </row>
        <row r="50">
          <cell r="C50" t="str">
            <v>DB</v>
          </cell>
        </row>
        <row r="51">
          <cell r="C51" t="str">
            <v>현대해상</v>
          </cell>
        </row>
        <row r="52">
          <cell r="C52" t="str">
            <v>한화</v>
          </cell>
        </row>
        <row r="55">
          <cell r="C55" t="str">
            <v>SBI</v>
          </cell>
        </row>
        <row r="56">
          <cell r="C56" t="str">
            <v>대신</v>
          </cell>
        </row>
        <row r="57">
          <cell r="C57" t="str">
            <v>키움</v>
          </cell>
        </row>
        <row r="58">
          <cell r="C58" t="str">
            <v>한화</v>
          </cell>
        </row>
        <row r="59">
          <cell r="C59" t="str">
            <v>DB</v>
          </cell>
        </row>
        <row r="60">
          <cell r="C60" t="str">
            <v>고려</v>
          </cell>
        </row>
        <row r="61">
          <cell r="C61" t="str">
            <v>푸른</v>
          </cell>
        </row>
        <row r="62">
          <cell r="C62" t="str">
            <v>모아</v>
          </cell>
        </row>
        <row r="63">
          <cell r="C63" t="str">
            <v>예가람</v>
          </cell>
        </row>
        <row r="64">
          <cell r="C64" t="str">
            <v>유진</v>
          </cell>
        </row>
        <row r="65">
          <cell r="C65" t="str">
            <v>바로</v>
          </cell>
        </row>
        <row r="66">
          <cell r="C66" t="str">
            <v>OK</v>
          </cell>
        </row>
        <row r="67">
          <cell r="C67" t="str">
            <v>더케이</v>
          </cell>
        </row>
        <row r="68">
          <cell r="C68" t="str">
            <v>페퍼</v>
          </cell>
        </row>
        <row r="69">
          <cell r="C69" t="str">
            <v>OSB</v>
          </cell>
        </row>
        <row r="70">
          <cell r="C70" t="str">
            <v>JT</v>
          </cell>
        </row>
      </sheetData>
      <sheetData sheetId="71">
        <row r="6">
          <cell r="C6" t="str">
            <v>현대차</v>
          </cell>
        </row>
        <row r="7">
          <cell r="C7" t="str">
            <v>미래에셋대우</v>
          </cell>
        </row>
        <row r="8">
          <cell r="C8" t="str">
            <v>한국투자</v>
          </cell>
        </row>
        <row r="9">
          <cell r="C9" t="str">
            <v>삼성</v>
          </cell>
        </row>
        <row r="10">
          <cell r="C10" t="str">
            <v>NH</v>
          </cell>
        </row>
        <row r="11">
          <cell r="C11" t="str">
            <v>신한금융</v>
          </cell>
        </row>
        <row r="12">
          <cell r="C12" t="str">
            <v>KB</v>
          </cell>
        </row>
        <row r="13">
          <cell r="C13" t="str">
            <v>대신</v>
          </cell>
        </row>
        <row r="14">
          <cell r="C14" t="str">
            <v>하이투자</v>
          </cell>
        </row>
        <row r="15">
          <cell r="C15" t="str">
            <v>하나금융</v>
          </cell>
        </row>
        <row r="16">
          <cell r="C16" t="str">
            <v>신영</v>
          </cell>
        </row>
        <row r="17">
          <cell r="C17" t="str">
            <v>유안타</v>
          </cell>
        </row>
        <row r="18">
          <cell r="C18" t="str">
            <v>한화투자</v>
          </cell>
        </row>
        <row r="22">
          <cell r="C22" t="str">
            <v>신한</v>
          </cell>
        </row>
        <row r="23">
          <cell r="C23" t="str">
            <v>국민</v>
          </cell>
        </row>
        <row r="24">
          <cell r="C24" t="str">
            <v>우리</v>
          </cell>
        </row>
        <row r="25">
          <cell r="C25" t="str">
            <v>기업</v>
          </cell>
        </row>
        <row r="26">
          <cell r="C26" t="str">
            <v>KEB하나</v>
          </cell>
        </row>
        <row r="27">
          <cell r="C27" t="str">
            <v>농협</v>
          </cell>
        </row>
        <row r="28">
          <cell r="C28" t="str">
            <v>산업</v>
          </cell>
        </row>
        <row r="29">
          <cell r="C29" t="str">
            <v>부산</v>
          </cell>
        </row>
        <row r="30">
          <cell r="C30" t="str">
            <v>대구</v>
          </cell>
        </row>
        <row r="31">
          <cell r="C31" t="str">
            <v>경남</v>
          </cell>
        </row>
        <row r="32">
          <cell r="C32" t="str">
            <v>광주</v>
          </cell>
        </row>
        <row r="33">
          <cell r="C33" t="str">
            <v>제주</v>
          </cell>
        </row>
        <row r="34">
          <cell r="C34" t="str">
            <v>전북</v>
          </cell>
        </row>
        <row r="35">
          <cell r="C35" t="str">
            <v>우체국</v>
          </cell>
        </row>
        <row r="36">
          <cell r="C36" t="str">
            <v>삼성</v>
          </cell>
        </row>
        <row r="37">
          <cell r="C37" t="str">
            <v>교보</v>
          </cell>
        </row>
        <row r="38">
          <cell r="C38" t="str">
            <v>한화</v>
          </cell>
        </row>
        <row r="39">
          <cell r="C39" t="str">
            <v>미래에셋</v>
          </cell>
        </row>
        <row r="40">
          <cell r="C40" t="str">
            <v>푸본현대</v>
          </cell>
        </row>
        <row r="41">
          <cell r="C41" t="str">
            <v>IBK연금</v>
          </cell>
        </row>
        <row r="42">
          <cell r="C42" t="str">
            <v>흥국</v>
          </cell>
        </row>
        <row r="43">
          <cell r="C43" t="str">
            <v>신한</v>
          </cell>
        </row>
        <row r="44">
          <cell r="C44" t="str">
            <v>동양</v>
          </cell>
        </row>
        <row r="45">
          <cell r="C45" t="str">
            <v>DB</v>
          </cell>
        </row>
        <row r="46">
          <cell r="C46" t="str">
            <v>KDB</v>
          </cell>
        </row>
        <row r="47">
          <cell r="C47" t="str">
            <v>삼성</v>
          </cell>
        </row>
        <row r="48">
          <cell r="C48" t="str">
            <v>KB</v>
          </cell>
        </row>
        <row r="49">
          <cell r="C49" t="str">
            <v>롯데</v>
          </cell>
        </row>
        <row r="50">
          <cell r="C50" t="str">
            <v>DB</v>
          </cell>
        </row>
        <row r="51">
          <cell r="C51" t="str">
            <v>현대해상</v>
          </cell>
        </row>
        <row r="52">
          <cell r="C52" t="str">
            <v>한화</v>
          </cell>
        </row>
        <row r="55">
          <cell r="C55" t="str">
            <v>대신</v>
          </cell>
        </row>
        <row r="56">
          <cell r="C56" t="str">
            <v>키움</v>
          </cell>
        </row>
        <row r="57">
          <cell r="C57" t="str">
            <v>한화</v>
          </cell>
        </row>
        <row r="58">
          <cell r="C58" t="str">
            <v>DB</v>
          </cell>
        </row>
        <row r="59">
          <cell r="C59" t="str">
            <v>고려</v>
          </cell>
        </row>
        <row r="60">
          <cell r="C60" t="str">
            <v>푸른</v>
          </cell>
        </row>
        <row r="61">
          <cell r="C61" t="str">
            <v>모아</v>
          </cell>
        </row>
        <row r="62">
          <cell r="C62" t="str">
            <v>예가람</v>
          </cell>
        </row>
        <row r="63">
          <cell r="C63" t="str">
            <v>유진</v>
          </cell>
        </row>
        <row r="64">
          <cell r="C64" t="str">
            <v>바로</v>
          </cell>
        </row>
        <row r="65">
          <cell r="C65" t="str">
            <v>OK</v>
          </cell>
        </row>
        <row r="66">
          <cell r="C66" t="str">
            <v>더케이</v>
          </cell>
        </row>
        <row r="67">
          <cell r="C67" t="str">
            <v>페퍼</v>
          </cell>
        </row>
        <row r="68">
          <cell r="C68" t="str">
            <v>OSB</v>
          </cell>
        </row>
        <row r="69">
          <cell r="C69" t="str">
            <v>JT</v>
          </cell>
        </row>
      </sheetData>
      <sheetData sheetId="72">
        <row r="6">
          <cell r="C6" t="str">
            <v>현대차</v>
          </cell>
        </row>
        <row r="7">
          <cell r="C7" t="str">
            <v>미래에셋대우</v>
          </cell>
        </row>
        <row r="8">
          <cell r="C8" t="str">
            <v>한국투자</v>
          </cell>
        </row>
        <row r="9">
          <cell r="C9" t="str">
            <v>삼성</v>
          </cell>
        </row>
        <row r="10">
          <cell r="C10" t="str">
            <v>NH</v>
          </cell>
        </row>
        <row r="11">
          <cell r="C11" t="str">
            <v>신한금융</v>
          </cell>
        </row>
        <row r="12">
          <cell r="C12" t="str">
            <v>KB</v>
          </cell>
        </row>
        <row r="13">
          <cell r="C13" t="str">
            <v>대신</v>
          </cell>
        </row>
        <row r="14">
          <cell r="C14" t="str">
            <v>하이투자</v>
          </cell>
        </row>
        <row r="15">
          <cell r="C15" t="str">
            <v>하나금융</v>
          </cell>
        </row>
        <row r="16">
          <cell r="C16" t="str">
            <v>신영</v>
          </cell>
        </row>
        <row r="17">
          <cell r="C17" t="str">
            <v>유안타</v>
          </cell>
        </row>
        <row r="18">
          <cell r="C18" t="str">
            <v>한화투자</v>
          </cell>
        </row>
        <row r="22">
          <cell r="C22" t="str">
            <v>신한</v>
          </cell>
        </row>
        <row r="23">
          <cell r="C23" t="str">
            <v>국민</v>
          </cell>
        </row>
        <row r="24">
          <cell r="C24" t="str">
            <v>우리</v>
          </cell>
        </row>
        <row r="25">
          <cell r="C25" t="str">
            <v>기업</v>
          </cell>
        </row>
        <row r="26">
          <cell r="C26" t="str">
            <v>KEB하나</v>
          </cell>
        </row>
        <row r="27">
          <cell r="C27" t="str">
            <v>농협</v>
          </cell>
        </row>
        <row r="28">
          <cell r="C28" t="str">
            <v>산업</v>
          </cell>
        </row>
        <row r="29">
          <cell r="C29" t="str">
            <v>부산</v>
          </cell>
        </row>
        <row r="30">
          <cell r="C30" t="str">
            <v>대구</v>
          </cell>
        </row>
        <row r="31">
          <cell r="C31" t="str">
            <v>경남</v>
          </cell>
        </row>
        <row r="32">
          <cell r="C32" t="str">
            <v>광주</v>
          </cell>
        </row>
        <row r="33">
          <cell r="C33" t="str">
            <v>제주</v>
          </cell>
        </row>
        <row r="34">
          <cell r="C34" t="str">
            <v>전북</v>
          </cell>
        </row>
        <row r="35">
          <cell r="C35" t="str">
            <v>우체국</v>
          </cell>
        </row>
        <row r="36">
          <cell r="C36" t="str">
            <v>삼성</v>
          </cell>
        </row>
        <row r="37">
          <cell r="C37" t="str">
            <v>교보</v>
          </cell>
        </row>
        <row r="38">
          <cell r="C38" t="str">
            <v>한화</v>
          </cell>
        </row>
        <row r="39">
          <cell r="C39" t="str">
            <v>미래에셋</v>
          </cell>
        </row>
        <row r="40">
          <cell r="C40" t="str">
            <v>푸본현대</v>
          </cell>
        </row>
        <row r="41">
          <cell r="C41" t="str">
            <v>IBK연금</v>
          </cell>
        </row>
        <row r="42">
          <cell r="C42" t="str">
            <v>흥국</v>
          </cell>
        </row>
        <row r="43">
          <cell r="C43" t="str">
            <v>신한</v>
          </cell>
        </row>
        <row r="44">
          <cell r="C44" t="str">
            <v>동양</v>
          </cell>
        </row>
        <row r="45">
          <cell r="C45" t="str">
            <v>DB</v>
          </cell>
        </row>
        <row r="46">
          <cell r="C46" t="str">
            <v>KDB</v>
          </cell>
        </row>
        <row r="47">
          <cell r="C47" t="str">
            <v>삼성</v>
          </cell>
        </row>
        <row r="48">
          <cell r="C48" t="str">
            <v>KB</v>
          </cell>
        </row>
        <row r="49">
          <cell r="C49" t="str">
            <v>롯데</v>
          </cell>
        </row>
        <row r="50">
          <cell r="C50" t="str">
            <v>DB</v>
          </cell>
        </row>
        <row r="51">
          <cell r="C51" t="str">
            <v>현대해상</v>
          </cell>
        </row>
        <row r="52">
          <cell r="C52" t="str">
            <v>한화</v>
          </cell>
        </row>
        <row r="55">
          <cell r="C55" t="str">
            <v>대신</v>
          </cell>
        </row>
        <row r="56">
          <cell r="C56" t="str">
            <v>키움</v>
          </cell>
        </row>
        <row r="57">
          <cell r="C57" t="str">
            <v>한화</v>
          </cell>
        </row>
        <row r="58">
          <cell r="C58" t="str">
            <v>DB</v>
          </cell>
        </row>
        <row r="59">
          <cell r="C59" t="str">
            <v>고려</v>
          </cell>
        </row>
        <row r="60">
          <cell r="C60" t="str">
            <v>푸른</v>
          </cell>
        </row>
        <row r="61">
          <cell r="C61" t="str">
            <v>모아</v>
          </cell>
        </row>
        <row r="62">
          <cell r="C62" t="str">
            <v>예가람</v>
          </cell>
        </row>
        <row r="63">
          <cell r="C63" t="str">
            <v>유진</v>
          </cell>
        </row>
        <row r="64">
          <cell r="C64" t="str">
            <v>바로</v>
          </cell>
        </row>
        <row r="65">
          <cell r="C65" t="str">
            <v>OK</v>
          </cell>
        </row>
        <row r="66">
          <cell r="C66" t="str">
            <v>더케이</v>
          </cell>
        </row>
        <row r="67">
          <cell r="C67" t="str">
            <v>페퍼</v>
          </cell>
        </row>
        <row r="68">
          <cell r="C68" t="str">
            <v>OSB</v>
          </cell>
        </row>
        <row r="69">
          <cell r="C69" t="str">
            <v>JT</v>
          </cell>
        </row>
      </sheetData>
      <sheetData sheetId="73">
        <row r="6">
          <cell r="C6" t="str">
            <v>현대차</v>
          </cell>
        </row>
        <row r="7">
          <cell r="C7" t="str">
            <v>미래에셋대우</v>
          </cell>
        </row>
        <row r="8">
          <cell r="C8" t="str">
            <v>한국투자</v>
          </cell>
        </row>
        <row r="9">
          <cell r="C9" t="str">
            <v>삼성</v>
          </cell>
        </row>
        <row r="10">
          <cell r="C10" t="str">
            <v>NH</v>
          </cell>
        </row>
        <row r="11">
          <cell r="C11" t="str">
            <v>신한금융</v>
          </cell>
        </row>
        <row r="12">
          <cell r="C12" t="str">
            <v>KB</v>
          </cell>
        </row>
        <row r="13">
          <cell r="C13" t="str">
            <v>대신</v>
          </cell>
        </row>
        <row r="14">
          <cell r="C14" t="str">
            <v>하이투자</v>
          </cell>
        </row>
        <row r="15">
          <cell r="C15" t="str">
            <v>하나금융</v>
          </cell>
        </row>
        <row r="16">
          <cell r="C16" t="str">
            <v>신영</v>
          </cell>
        </row>
        <row r="17">
          <cell r="C17" t="str">
            <v>유안타</v>
          </cell>
        </row>
        <row r="18">
          <cell r="C18" t="str">
            <v>한화투자</v>
          </cell>
        </row>
        <row r="22">
          <cell r="C22" t="str">
            <v>신한</v>
          </cell>
        </row>
        <row r="23">
          <cell r="C23" t="str">
            <v>국민</v>
          </cell>
        </row>
        <row r="24">
          <cell r="C24" t="str">
            <v>우리</v>
          </cell>
        </row>
        <row r="25">
          <cell r="C25" t="str">
            <v>기업</v>
          </cell>
        </row>
        <row r="26">
          <cell r="C26" t="str">
            <v>KEB하나</v>
          </cell>
        </row>
        <row r="27">
          <cell r="C27" t="str">
            <v>농협</v>
          </cell>
        </row>
        <row r="28">
          <cell r="C28" t="str">
            <v>산업</v>
          </cell>
        </row>
        <row r="29">
          <cell r="C29" t="str">
            <v>부산</v>
          </cell>
        </row>
        <row r="30">
          <cell r="C30" t="str">
            <v>대구</v>
          </cell>
        </row>
        <row r="31">
          <cell r="C31" t="str">
            <v>경남</v>
          </cell>
        </row>
        <row r="32">
          <cell r="C32" t="str">
            <v>광주</v>
          </cell>
        </row>
        <row r="33">
          <cell r="C33" t="str">
            <v>제주</v>
          </cell>
        </row>
        <row r="34">
          <cell r="C34" t="str">
            <v>전북</v>
          </cell>
        </row>
        <row r="35">
          <cell r="C35" t="str">
            <v>우체국</v>
          </cell>
        </row>
        <row r="36">
          <cell r="C36" t="str">
            <v>삼성</v>
          </cell>
        </row>
        <row r="37">
          <cell r="C37" t="str">
            <v>교보</v>
          </cell>
        </row>
        <row r="38">
          <cell r="C38" t="str">
            <v>한화</v>
          </cell>
        </row>
        <row r="39">
          <cell r="C39" t="str">
            <v>미래에셋</v>
          </cell>
        </row>
        <row r="40">
          <cell r="C40" t="str">
            <v>푸본현대</v>
          </cell>
        </row>
        <row r="41">
          <cell r="C41" t="str">
            <v>IBK연금</v>
          </cell>
        </row>
        <row r="42">
          <cell r="C42" t="str">
            <v>흥국</v>
          </cell>
        </row>
        <row r="43">
          <cell r="C43" t="str">
            <v>신한</v>
          </cell>
        </row>
        <row r="44">
          <cell r="C44" t="str">
            <v>동양</v>
          </cell>
        </row>
        <row r="45">
          <cell r="C45" t="str">
            <v>DB</v>
          </cell>
        </row>
        <row r="46">
          <cell r="C46" t="str">
            <v>KDB</v>
          </cell>
        </row>
        <row r="47">
          <cell r="C47" t="str">
            <v>삼성</v>
          </cell>
        </row>
        <row r="48">
          <cell r="C48" t="str">
            <v>KB</v>
          </cell>
        </row>
        <row r="49">
          <cell r="C49" t="str">
            <v>롯데</v>
          </cell>
        </row>
        <row r="50">
          <cell r="C50" t="str">
            <v>DB</v>
          </cell>
        </row>
        <row r="51">
          <cell r="C51" t="str">
            <v>현대해상</v>
          </cell>
        </row>
        <row r="52">
          <cell r="C52" t="str">
            <v>한화</v>
          </cell>
        </row>
        <row r="55">
          <cell r="C55" t="str">
            <v>대신</v>
          </cell>
        </row>
        <row r="56">
          <cell r="C56" t="str">
            <v>키움</v>
          </cell>
        </row>
        <row r="57">
          <cell r="C57" t="str">
            <v>한화</v>
          </cell>
        </row>
        <row r="58">
          <cell r="C58" t="str">
            <v>DB</v>
          </cell>
        </row>
        <row r="59">
          <cell r="C59" t="str">
            <v>고려</v>
          </cell>
        </row>
        <row r="60">
          <cell r="C60" t="str">
            <v>푸른</v>
          </cell>
        </row>
        <row r="61">
          <cell r="C61" t="str">
            <v>모아</v>
          </cell>
        </row>
        <row r="62">
          <cell r="C62" t="str">
            <v>예가람</v>
          </cell>
        </row>
        <row r="63">
          <cell r="C63" t="str">
            <v>유진</v>
          </cell>
        </row>
        <row r="64">
          <cell r="C64" t="str">
            <v>바로</v>
          </cell>
        </row>
        <row r="65">
          <cell r="C65" t="str">
            <v>OK</v>
          </cell>
        </row>
        <row r="66">
          <cell r="C66" t="str">
            <v>더케이</v>
          </cell>
        </row>
        <row r="67">
          <cell r="C67" t="str">
            <v>페퍼</v>
          </cell>
        </row>
        <row r="68">
          <cell r="C68" t="str">
            <v>OSB</v>
          </cell>
        </row>
        <row r="69">
          <cell r="C69" t="str">
            <v>JT</v>
          </cell>
        </row>
        <row r="70">
          <cell r="C70" t="str">
            <v>BNK</v>
          </cell>
        </row>
      </sheetData>
      <sheetData sheetId="74">
        <row r="6">
          <cell r="C6" t="str">
            <v>현대차</v>
          </cell>
        </row>
        <row r="7">
          <cell r="C7" t="str">
            <v>미래에셋대우</v>
          </cell>
        </row>
        <row r="8">
          <cell r="C8" t="str">
            <v>한국투자</v>
          </cell>
        </row>
        <row r="9">
          <cell r="C9" t="str">
            <v>삼성</v>
          </cell>
        </row>
        <row r="10">
          <cell r="C10" t="str">
            <v>NH</v>
          </cell>
        </row>
        <row r="11">
          <cell r="C11" t="str">
            <v>신한금융</v>
          </cell>
        </row>
        <row r="12">
          <cell r="C12" t="str">
            <v>KB</v>
          </cell>
        </row>
        <row r="13">
          <cell r="C13" t="str">
            <v>대신</v>
          </cell>
        </row>
        <row r="14">
          <cell r="C14" t="str">
            <v>하이투자</v>
          </cell>
        </row>
        <row r="15">
          <cell r="C15" t="str">
            <v>하나금융</v>
          </cell>
        </row>
        <row r="16">
          <cell r="C16" t="str">
            <v>신영</v>
          </cell>
        </row>
        <row r="17">
          <cell r="C17" t="str">
            <v>유안타</v>
          </cell>
        </row>
        <row r="18">
          <cell r="C18" t="str">
            <v>한화투자</v>
          </cell>
        </row>
        <row r="22">
          <cell r="C22" t="str">
            <v>신한</v>
          </cell>
        </row>
        <row r="23">
          <cell r="C23" t="str">
            <v>국민</v>
          </cell>
        </row>
        <row r="24">
          <cell r="C24" t="str">
            <v>우리</v>
          </cell>
        </row>
        <row r="25">
          <cell r="C25" t="str">
            <v>기업</v>
          </cell>
        </row>
        <row r="26">
          <cell r="C26" t="str">
            <v>KEB하나</v>
          </cell>
        </row>
        <row r="27">
          <cell r="C27" t="str">
            <v>농협</v>
          </cell>
        </row>
        <row r="28">
          <cell r="C28" t="str">
            <v>산업</v>
          </cell>
        </row>
        <row r="29">
          <cell r="C29" t="str">
            <v>부산</v>
          </cell>
        </row>
        <row r="30">
          <cell r="C30" t="str">
            <v>대구</v>
          </cell>
        </row>
        <row r="31">
          <cell r="C31" t="str">
            <v>경남</v>
          </cell>
        </row>
        <row r="32">
          <cell r="C32" t="str">
            <v>광주</v>
          </cell>
        </row>
        <row r="33">
          <cell r="C33" t="str">
            <v>제주</v>
          </cell>
        </row>
        <row r="34">
          <cell r="C34" t="str">
            <v>전북</v>
          </cell>
        </row>
        <row r="35">
          <cell r="C35" t="str">
            <v>우체국</v>
          </cell>
        </row>
        <row r="36">
          <cell r="C36" t="str">
            <v>삼성</v>
          </cell>
        </row>
        <row r="37">
          <cell r="C37" t="str">
            <v>교보</v>
          </cell>
        </row>
        <row r="38">
          <cell r="C38" t="str">
            <v>한화</v>
          </cell>
        </row>
        <row r="39">
          <cell r="C39" t="str">
            <v>미래에셋</v>
          </cell>
        </row>
        <row r="40">
          <cell r="C40" t="str">
            <v>푸본현대</v>
          </cell>
        </row>
        <row r="41">
          <cell r="C41" t="str">
            <v>IBK연금</v>
          </cell>
        </row>
        <row r="42">
          <cell r="C42" t="str">
            <v>흥국</v>
          </cell>
        </row>
        <row r="43">
          <cell r="C43" t="str">
            <v>신한</v>
          </cell>
        </row>
        <row r="44">
          <cell r="C44" t="str">
            <v>동양</v>
          </cell>
        </row>
        <row r="45">
          <cell r="C45" t="str">
            <v>DB</v>
          </cell>
        </row>
        <row r="46">
          <cell r="C46" t="str">
            <v>KDB</v>
          </cell>
        </row>
        <row r="47">
          <cell r="C47" t="str">
            <v>삼성</v>
          </cell>
        </row>
        <row r="48">
          <cell r="C48" t="str">
            <v>KB</v>
          </cell>
        </row>
        <row r="49">
          <cell r="C49" t="str">
            <v>롯데</v>
          </cell>
        </row>
        <row r="50">
          <cell r="C50" t="str">
            <v>DB</v>
          </cell>
        </row>
        <row r="51">
          <cell r="C51" t="str">
            <v>현대해상</v>
          </cell>
        </row>
        <row r="52">
          <cell r="C52" t="str">
            <v>한화</v>
          </cell>
        </row>
        <row r="55">
          <cell r="C55" t="str">
            <v>대신</v>
          </cell>
        </row>
        <row r="56">
          <cell r="C56" t="str">
            <v>키움</v>
          </cell>
        </row>
        <row r="57">
          <cell r="C57" t="str">
            <v>한화</v>
          </cell>
        </row>
        <row r="58">
          <cell r="C58" t="str">
            <v>DB</v>
          </cell>
        </row>
        <row r="59">
          <cell r="C59" t="str">
            <v>고려</v>
          </cell>
        </row>
        <row r="60">
          <cell r="C60" t="str">
            <v>푸른</v>
          </cell>
        </row>
        <row r="61">
          <cell r="C61" t="str">
            <v>모아</v>
          </cell>
        </row>
        <row r="62">
          <cell r="C62" t="str">
            <v>예가람</v>
          </cell>
        </row>
        <row r="63">
          <cell r="C63" t="str">
            <v>유진</v>
          </cell>
        </row>
        <row r="64">
          <cell r="C64" t="str">
            <v>바로</v>
          </cell>
        </row>
        <row r="65">
          <cell r="C65" t="str">
            <v>OK</v>
          </cell>
        </row>
        <row r="66">
          <cell r="C66" t="str">
            <v>더케이</v>
          </cell>
        </row>
        <row r="67">
          <cell r="C67" t="str">
            <v>페퍼</v>
          </cell>
        </row>
        <row r="68">
          <cell r="C68" t="str">
            <v>OSB</v>
          </cell>
        </row>
        <row r="69">
          <cell r="C69" t="str">
            <v>JT</v>
          </cell>
        </row>
        <row r="70">
          <cell r="C70" t="str">
            <v>BNK</v>
          </cell>
        </row>
      </sheetData>
      <sheetData sheetId="75">
        <row r="6">
          <cell r="C6" t="str">
            <v>현대차</v>
          </cell>
        </row>
        <row r="7">
          <cell r="C7" t="str">
            <v>미래에셋대우</v>
          </cell>
        </row>
        <row r="8">
          <cell r="C8" t="str">
            <v>한국투자</v>
          </cell>
        </row>
        <row r="9">
          <cell r="C9" t="str">
            <v>삼성</v>
          </cell>
        </row>
        <row r="10">
          <cell r="C10" t="str">
            <v>NH</v>
          </cell>
        </row>
        <row r="11">
          <cell r="C11" t="str">
            <v>신한금융</v>
          </cell>
        </row>
        <row r="12">
          <cell r="C12" t="str">
            <v>KB</v>
          </cell>
        </row>
        <row r="13">
          <cell r="C13" t="str">
            <v>대신</v>
          </cell>
        </row>
        <row r="14">
          <cell r="C14" t="str">
            <v>하이투자</v>
          </cell>
        </row>
        <row r="15">
          <cell r="C15" t="str">
            <v>하나금융</v>
          </cell>
        </row>
        <row r="16">
          <cell r="C16" t="str">
            <v>신영</v>
          </cell>
        </row>
        <row r="17">
          <cell r="C17" t="str">
            <v>유안타</v>
          </cell>
        </row>
        <row r="18">
          <cell r="C18" t="str">
            <v>한화투자</v>
          </cell>
        </row>
        <row r="22">
          <cell r="C22" t="str">
            <v>신한</v>
          </cell>
        </row>
        <row r="23">
          <cell r="C23" t="str">
            <v>국민</v>
          </cell>
        </row>
        <row r="24">
          <cell r="C24" t="str">
            <v>우리</v>
          </cell>
        </row>
        <row r="25">
          <cell r="C25" t="str">
            <v>기업</v>
          </cell>
        </row>
        <row r="26">
          <cell r="C26" t="str">
            <v>KEB하나</v>
          </cell>
        </row>
        <row r="27">
          <cell r="C27" t="str">
            <v>농협</v>
          </cell>
        </row>
        <row r="28">
          <cell r="C28" t="str">
            <v>산업</v>
          </cell>
        </row>
        <row r="29">
          <cell r="C29" t="str">
            <v>부산</v>
          </cell>
        </row>
        <row r="30">
          <cell r="C30" t="str">
            <v>대구</v>
          </cell>
        </row>
        <row r="31">
          <cell r="C31" t="str">
            <v>경남</v>
          </cell>
        </row>
        <row r="32">
          <cell r="C32" t="str">
            <v>광주</v>
          </cell>
        </row>
        <row r="33">
          <cell r="C33" t="str">
            <v>제주</v>
          </cell>
        </row>
        <row r="34">
          <cell r="C34" t="str">
            <v>전북</v>
          </cell>
        </row>
        <row r="35">
          <cell r="C35" t="str">
            <v>우체국</v>
          </cell>
        </row>
        <row r="36">
          <cell r="C36" t="str">
            <v>삼성</v>
          </cell>
        </row>
        <row r="37">
          <cell r="C37" t="str">
            <v>교보</v>
          </cell>
        </row>
        <row r="38">
          <cell r="C38" t="str">
            <v>한화</v>
          </cell>
        </row>
        <row r="39">
          <cell r="C39" t="str">
            <v>미래에셋</v>
          </cell>
        </row>
        <row r="40">
          <cell r="C40" t="str">
            <v>푸본현대</v>
          </cell>
        </row>
        <row r="41">
          <cell r="C41" t="str">
            <v>IBK연금</v>
          </cell>
        </row>
        <row r="42">
          <cell r="C42" t="str">
            <v>흥국</v>
          </cell>
        </row>
        <row r="43">
          <cell r="C43" t="str">
            <v>신한</v>
          </cell>
        </row>
        <row r="44">
          <cell r="C44" t="str">
            <v>동양</v>
          </cell>
        </row>
        <row r="45">
          <cell r="C45" t="str">
            <v>DB</v>
          </cell>
        </row>
        <row r="46">
          <cell r="C46" t="str">
            <v>KDB</v>
          </cell>
        </row>
        <row r="47">
          <cell r="C47" t="str">
            <v>삼성</v>
          </cell>
        </row>
        <row r="48">
          <cell r="C48" t="str">
            <v>KB</v>
          </cell>
        </row>
        <row r="49">
          <cell r="C49" t="str">
            <v>롯데</v>
          </cell>
        </row>
        <row r="50">
          <cell r="C50" t="str">
            <v>DB</v>
          </cell>
        </row>
        <row r="51">
          <cell r="C51" t="str">
            <v>현대해상</v>
          </cell>
        </row>
        <row r="52">
          <cell r="C52" t="str">
            <v>한화</v>
          </cell>
        </row>
        <row r="55">
          <cell r="C55" t="str">
            <v>대신</v>
          </cell>
        </row>
        <row r="56">
          <cell r="C56" t="str">
            <v>키움</v>
          </cell>
        </row>
        <row r="57">
          <cell r="C57" t="str">
            <v>한화</v>
          </cell>
        </row>
        <row r="58">
          <cell r="C58" t="str">
            <v>DB</v>
          </cell>
        </row>
        <row r="59">
          <cell r="C59" t="str">
            <v>고려</v>
          </cell>
        </row>
        <row r="60">
          <cell r="C60" t="str">
            <v>푸른</v>
          </cell>
        </row>
        <row r="61">
          <cell r="C61" t="str">
            <v>모아</v>
          </cell>
        </row>
        <row r="62">
          <cell r="C62" t="str">
            <v>예가람</v>
          </cell>
        </row>
        <row r="63">
          <cell r="C63" t="str">
            <v>유진</v>
          </cell>
        </row>
        <row r="64">
          <cell r="C64" t="str">
            <v>바로</v>
          </cell>
        </row>
        <row r="65">
          <cell r="C65" t="str">
            <v>OK</v>
          </cell>
        </row>
        <row r="66">
          <cell r="C66" t="str">
            <v>더케이</v>
          </cell>
        </row>
        <row r="67">
          <cell r="C67" t="str">
            <v>페퍼</v>
          </cell>
        </row>
        <row r="68">
          <cell r="C68" t="str">
            <v>OSB</v>
          </cell>
        </row>
        <row r="69">
          <cell r="C69" t="str">
            <v>JT</v>
          </cell>
        </row>
        <row r="70">
          <cell r="C70" t="str">
            <v>BNK</v>
          </cell>
        </row>
      </sheetData>
      <sheetData sheetId="76">
        <row r="6">
          <cell r="C6" t="str">
            <v>현대차</v>
          </cell>
        </row>
        <row r="7">
          <cell r="C7" t="str">
            <v>미래에셋대우</v>
          </cell>
        </row>
        <row r="8">
          <cell r="C8" t="str">
            <v>한국투자</v>
          </cell>
        </row>
        <row r="9">
          <cell r="C9" t="str">
            <v>삼성</v>
          </cell>
        </row>
        <row r="10">
          <cell r="C10" t="str">
            <v>NH</v>
          </cell>
        </row>
        <row r="11">
          <cell r="C11" t="str">
            <v>신한금융</v>
          </cell>
        </row>
        <row r="12">
          <cell r="C12" t="str">
            <v>KB</v>
          </cell>
        </row>
        <row r="13">
          <cell r="C13" t="str">
            <v>대신</v>
          </cell>
        </row>
        <row r="14">
          <cell r="C14" t="str">
            <v>하이투자</v>
          </cell>
        </row>
        <row r="15">
          <cell r="C15" t="str">
            <v>하나금융</v>
          </cell>
        </row>
        <row r="16">
          <cell r="C16" t="str">
            <v>신영</v>
          </cell>
        </row>
        <row r="17">
          <cell r="C17" t="str">
            <v>유안타</v>
          </cell>
        </row>
        <row r="18">
          <cell r="C18" t="str">
            <v>한화투자</v>
          </cell>
        </row>
        <row r="22">
          <cell r="C22" t="str">
            <v>신한</v>
          </cell>
        </row>
        <row r="23">
          <cell r="C23" t="str">
            <v>국민</v>
          </cell>
        </row>
        <row r="24">
          <cell r="C24" t="str">
            <v>우리</v>
          </cell>
        </row>
        <row r="25">
          <cell r="C25" t="str">
            <v>기업</v>
          </cell>
        </row>
        <row r="26">
          <cell r="C26" t="str">
            <v>KEB하나</v>
          </cell>
        </row>
        <row r="27">
          <cell r="C27" t="str">
            <v>농협</v>
          </cell>
        </row>
        <row r="28">
          <cell r="C28" t="str">
            <v>산업</v>
          </cell>
        </row>
        <row r="29">
          <cell r="C29" t="str">
            <v>부산</v>
          </cell>
        </row>
        <row r="30">
          <cell r="C30" t="str">
            <v>대구</v>
          </cell>
        </row>
        <row r="31">
          <cell r="C31" t="str">
            <v>경남</v>
          </cell>
        </row>
        <row r="32">
          <cell r="C32" t="str">
            <v>광주</v>
          </cell>
        </row>
        <row r="33">
          <cell r="C33" t="str">
            <v>제주</v>
          </cell>
        </row>
        <row r="34">
          <cell r="C34" t="str">
            <v>전북</v>
          </cell>
        </row>
        <row r="35">
          <cell r="C35" t="str">
            <v>우체국</v>
          </cell>
        </row>
        <row r="36">
          <cell r="C36" t="str">
            <v>삼성</v>
          </cell>
        </row>
        <row r="37">
          <cell r="C37" t="str">
            <v>교보</v>
          </cell>
        </row>
        <row r="38">
          <cell r="C38" t="str">
            <v>한화</v>
          </cell>
        </row>
        <row r="39">
          <cell r="C39" t="str">
            <v>미래에셋</v>
          </cell>
        </row>
        <row r="40">
          <cell r="C40" t="str">
            <v>푸본현대</v>
          </cell>
        </row>
        <row r="41">
          <cell r="C41" t="str">
            <v>IBK연금</v>
          </cell>
        </row>
        <row r="42">
          <cell r="C42" t="str">
            <v>흥국</v>
          </cell>
        </row>
        <row r="43">
          <cell r="C43" t="str">
            <v>신한</v>
          </cell>
        </row>
        <row r="44">
          <cell r="C44" t="str">
            <v>동양</v>
          </cell>
        </row>
        <row r="45">
          <cell r="C45" t="str">
            <v>DB</v>
          </cell>
        </row>
        <row r="46">
          <cell r="C46" t="str">
            <v>KDB</v>
          </cell>
        </row>
        <row r="47">
          <cell r="C47" t="str">
            <v>삼성</v>
          </cell>
        </row>
        <row r="48">
          <cell r="C48" t="str">
            <v>KB</v>
          </cell>
        </row>
        <row r="49">
          <cell r="C49" t="str">
            <v>롯데</v>
          </cell>
        </row>
        <row r="50">
          <cell r="C50" t="str">
            <v>DB</v>
          </cell>
        </row>
        <row r="51">
          <cell r="C51" t="str">
            <v>현대해상</v>
          </cell>
        </row>
        <row r="52">
          <cell r="C52" t="str">
            <v>한화</v>
          </cell>
        </row>
        <row r="55">
          <cell r="C55" t="str">
            <v>대신</v>
          </cell>
        </row>
        <row r="56">
          <cell r="C56" t="str">
            <v>키움</v>
          </cell>
        </row>
        <row r="57">
          <cell r="C57" t="str">
            <v>한화</v>
          </cell>
        </row>
        <row r="58">
          <cell r="C58" t="str">
            <v>DB</v>
          </cell>
        </row>
        <row r="59">
          <cell r="C59" t="str">
            <v>고려</v>
          </cell>
        </row>
        <row r="60">
          <cell r="C60" t="str">
            <v>푸른</v>
          </cell>
        </row>
        <row r="61">
          <cell r="C61" t="str">
            <v>모아</v>
          </cell>
        </row>
        <row r="62">
          <cell r="C62" t="str">
            <v>예가람</v>
          </cell>
        </row>
        <row r="63">
          <cell r="C63" t="str">
            <v>유진</v>
          </cell>
        </row>
        <row r="64">
          <cell r="C64" t="str">
            <v>바로</v>
          </cell>
        </row>
        <row r="65">
          <cell r="C65" t="str">
            <v>OK</v>
          </cell>
        </row>
        <row r="66">
          <cell r="C66" t="str">
            <v>더케이</v>
          </cell>
        </row>
        <row r="67">
          <cell r="C67" t="str">
            <v>페퍼</v>
          </cell>
        </row>
        <row r="68">
          <cell r="C68" t="str">
            <v>OSB</v>
          </cell>
        </row>
        <row r="69">
          <cell r="C69" t="str">
            <v>JT</v>
          </cell>
        </row>
        <row r="70">
          <cell r="C70" t="str">
            <v>BNK</v>
          </cell>
        </row>
      </sheetData>
      <sheetData sheetId="77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  <row r="70">
          <cell r="B70" t="str">
            <v>저축
은행</v>
          </cell>
        </row>
      </sheetData>
      <sheetData sheetId="78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  <row r="69">
          <cell r="B69" t="str">
            <v>저축
은행</v>
          </cell>
        </row>
      </sheetData>
      <sheetData sheetId="79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  <row r="69">
          <cell r="B69" t="str">
            <v>저축
은행</v>
          </cell>
        </row>
      </sheetData>
      <sheetData sheetId="80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81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82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83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84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85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86">
        <row r="6">
          <cell r="B6" t="str">
            <v>증권</v>
          </cell>
        </row>
        <row r="22">
          <cell r="B22" t="str">
            <v>은행</v>
          </cell>
        </row>
        <row r="36">
          <cell r="B36" t="str">
            <v>생보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87">
        <row r="6">
          <cell r="B6" t="str">
            <v>증권</v>
          </cell>
        </row>
        <row r="22">
          <cell r="B22" t="str">
            <v>은행</v>
          </cell>
        </row>
        <row r="47">
          <cell r="B47" t="str">
            <v>손보</v>
          </cell>
        </row>
        <row r="53">
          <cell r="B53" t="str">
            <v>저축
은행</v>
          </cell>
        </row>
      </sheetData>
      <sheetData sheetId="88"/>
      <sheetData sheetId="89"/>
      <sheetData sheetId="90"/>
      <sheetData sheetId="91"/>
      <sheetData sheetId="92">
        <row r="55">
          <cell r="C55" t="str">
            <v>평균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329BC-4B79-489F-B7C2-7A283B0A0F0C}">
  <dimension ref="A4:J211"/>
  <sheetViews>
    <sheetView topLeftCell="A68" workbookViewId="0">
      <selection activeCell="F85" sqref="F85"/>
    </sheetView>
  </sheetViews>
  <sheetFormatPr defaultRowHeight="16.899999999999999" x14ac:dyDescent="0.35"/>
  <cols>
    <col min="1" max="1" width="13.25" style="5" customWidth="1"/>
    <col min="2" max="5" width="11.375" style="5" bestFit="1" customWidth="1"/>
    <col min="6" max="6" width="11.375" style="5" customWidth="1"/>
    <col min="7" max="7" width="32" style="5" customWidth="1"/>
    <col min="8" max="8" width="16.25" style="5" customWidth="1"/>
    <col min="9" max="10" width="9" style="5"/>
  </cols>
  <sheetData>
    <row r="4" spans="1:10" x14ac:dyDescent="0.6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3" t="s">
        <v>5</v>
      </c>
      <c r="G4" s="4" t="s">
        <v>6</v>
      </c>
      <c r="H4" s="4" t="s">
        <v>7</v>
      </c>
      <c r="I4" s="1" t="s">
        <v>8</v>
      </c>
    </row>
    <row r="5" spans="1:10" x14ac:dyDescent="0.6">
      <c r="A5" s="6" t="s">
        <v>9</v>
      </c>
      <c r="B5" s="7">
        <v>4.8850000000000007</v>
      </c>
      <c r="C5" s="7">
        <v>4.6324999999999994</v>
      </c>
      <c r="D5" s="7">
        <v>4.8223076923076924</v>
      </c>
      <c r="E5" s="7">
        <v>4.8250000000000002</v>
      </c>
      <c r="F5" s="7"/>
      <c r="G5" s="7">
        <f t="shared" ref="G5:G68" si="0">AVERAGE(B5:E5)</f>
        <v>4.7912019230769234</v>
      </c>
      <c r="H5" s="5">
        <v>3.38</v>
      </c>
      <c r="I5" s="5">
        <v>3.25</v>
      </c>
      <c r="J5" s="8">
        <f>B5-I5</f>
        <v>1.6350000000000007</v>
      </c>
    </row>
    <row r="6" spans="1:10" x14ac:dyDescent="0.6">
      <c r="A6" s="6" t="s">
        <v>10</v>
      </c>
      <c r="B6" s="7">
        <v>4.8449999999999998</v>
      </c>
      <c r="C6" s="7">
        <v>4.6756250000000001</v>
      </c>
      <c r="D6" s="7">
        <v>4.7007692307692315</v>
      </c>
      <c r="E6" s="7">
        <v>4.8012500000000005</v>
      </c>
      <c r="F6" s="7"/>
      <c r="G6" s="7">
        <f t="shared" si="0"/>
        <v>4.7556610576923077</v>
      </c>
      <c r="H6" s="5">
        <v>3.4</v>
      </c>
      <c r="I6" s="5">
        <v>3.25</v>
      </c>
      <c r="J6" s="8">
        <f t="shared" ref="J6:J69" si="1">B6-I6</f>
        <v>1.5949999999999998</v>
      </c>
    </row>
    <row r="7" spans="1:10" x14ac:dyDescent="0.6">
      <c r="A7" s="6" t="s">
        <v>11</v>
      </c>
      <c r="B7" s="7">
        <v>4.8466666666666667</v>
      </c>
      <c r="C7" s="7">
        <v>4.6256250000000003</v>
      </c>
      <c r="D7" s="7">
        <v>4.6838461538461535</v>
      </c>
      <c r="E7" s="7">
        <v>4.8250000000000011</v>
      </c>
      <c r="F7" s="7"/>
      <c r="G7" s="7">
        <f t="shared" si="0"/>
        <v>4.7452844551282052</v>
      </c>
      <c r="H7" s="5">
        <v>3.45</v>
      </c>
      <c r="I7" s="5">
        <v>3.25</v>
      </c>
      <c r="J7" s="8">
        <f t="shared" si="1"/>
        <v>1.5966666666666667</v>
      </c>
    </row>
    <row r="8" spans="1:10" x14ac:dyDescent="0.6">
      <c r="A8" s="6" t="s">
        <v>12</v>
      </c>
      <c r="B8" s="7">
        <v>4.8599999999999994</v>
      </c>
      <c r="C8" s="7">
        <v>4.6518750000000004</v>
      </c>
      <c r="D8" s="7">
        <v>4.684615384615384</v>
      </c>
      <c r="E8" s="7">
        <v>4.8175000000000008</v>
      </c>
      <c r="F8" s="7"/>
      <c r="G8" s="7">
        <f t="shared" si="0"/>
        <v>4.7534975961538457</v>
      </c>
      <c r="H8" s="5">
        <v>3.51</v>
      </c>
      <c r="I8" s="5">
        <v>3.25</v>
      </c>
      <c r="J8" s="8">
        <f t="shared" si="1"/>
        <v>1.6099999999999994</v>
      </c>
    </row>
    <row r="9" spans="1:10" x14ac:dyDescent="0.6">
      <c r="A9" s="6" t="s">
        <v>13</v>
      </c>
      <c r="B9" s="7">
        <v>4.9125000000000005</v>
      </c>
      <c r="C9" s="7">
        <v>4.6962499999999991</v>
      </c>
      <c r="D9" s="7">
        <v>4.686923076923077</v>
      </c>
      <c r="E9" s="7">
        <v>4.8125</v>
      </c>
      <c r="F9" s="7"/>
      <c r="G9" s="7">
        <f t="shared" si="0"/>
        <v>4.7770432692307692</v>
      </c>
      <c r="H9" s="5">
        <v>3.48</v>
      </c>
      <c r="I9" s="5">
        <v>3.25</v>
      </c>
      <c r="J9" s="8">
        <f t="shared" si="1"/>
        <v>1.6625000000000005</v>
      </c>
    </row>
    <row r="10" spans="1:10" x14ac:dyDescent="0.6">
      <c r="A10" s="6" t="s">
        <v>14</v>
      </c>
      <c r="B10" s="7">
        <v>4.8824999999999994</v>
      </c>
      <c r="C10" s="7">
        <v>4.6576470588235299</v>
      </c>
      <c r="D10" s="7">
        <v>4.7007692307692306</v>
      </c>
      <c r="E10" s="7">
        <v>4.8237500000000004</v>
      </c>
      <c r="F10" s="7"/>
      <c r="G10" s="7">
        <f t="shared" si="0"/>
        <v>4.7661665723981894</v>
      </c>
      <c r="H10" s="5">
        <v>3.43</v>
      </c>
      <c r="I10" s="5">
        <v>3.25</v>
      </c>
      <c r="J10" s="8">
        <f t="shared" si="1"/>
        <v>1.6324999999999994</v>
      </c>
    </row>
    <row r="11" spans="1:10" x14ac:dyDescent="0.6">
      <c r="A11" s="6" t="s">
        <v>15</v>
      </c>
      <c r="B11" s="7">
        <v>4.7791666666666659</v>
      </c>
      <c r="C11" s="7">
        <v>4.6282352941176468</v>
      </c>
      <c r="D11" s="7">
        <v>4.6192307692307697</v>
      </c>
      <c r="E11" s="7">
        <v>4.7712500000000002</v>
      </c>
      <c r="F11" s="7"/>
      <c r="G11" s="7">
        <f t="shared" si="0"/>
        <v>4.6994706825037706</v>
      </c>
      <c r="H11" s="5">
        <v>3.43</v>
      </c>
      <c r="I11" s="5">
        <v>3.25</v>
      </c>
      <c r="J11" s="8">
        <f t="shared" si="1"/>
        <v>1.5291666666666659</v>
      </c>
    </row>
    <row r="12" spans="1:10" x14ac:dyDescent="0.6">
      <c r="A12" s="6" t="s">
        <v>16</v>
      </c>
      <c r="B12" s="7">
        <v>4.6983333333333341</v>
      </c>
      <c r="C12" s="7">
        <v>4.6141176470588237</v>
      </c>
      <c r="D12" s="7">
        <v>4.5623076923076917</v>
      </c>
      <c r="E12" s="7">
        <v>4.7225000000000001</v>
      </c>
      <c r="F12" s="7"/>
      <c r="G12" s="7">
        <f t="shared" si="0"/>
        <v>4.649314668174962</v>
      </c>
      <c r="H12" s="5">
        <v>3.37</v>
      </c>
      <c r="I12" s="5">
        <v>3.25</v>
      </c>
      <c r="J12" s="8">
        <f t="shared" si="1"/>
        <v>1.4483333333333341</v>
      </c>
    </row>
    <row r="13" spans="1:10" x14ac:dyDescent="0.6">
      <c r="A13" s="6" t="s">
        <v>17</v>
      </c>
      <c r="B13" s="7">
        <v>4.6158333333333337</v>
      </c>
      <c r="C13" s="7">
        <v>4.59</v>
      </c>
      <c r="D13" s="7">
        <v>4.4861538461538464</v>
      </c>
      <c r="E13" s="7">
        <v>4.6212499999999999</v>
      </c>
      <c r="F13" s="7"/>
      <c r="G13" s="7">
        <f t="shared" si="0"/>
        <v>4.5783092948717954</v>
      </c>
      <c r="H13" s="5">
        <v>3.3</v>
      </c>
      <c r="I13" s="5">
        <v>3.25</v>
      </c>
      <c r="J13" s="8">
        <f t="shared" si="1"/>
        <v>1.3658333333333337</v>
      </c>
    </row>
    <row r="14" spans="1:10" x14ac:dyDescent="0.6">
      <c r="A14" s="6" t="s">
        <v>18</v>
      </c>
      <c r="B14" s="7">
        <v>4.5616666666666665</v>
      </c>
      <c r="C14" s="7">
        <v>4.5549999999999997</v>
      </c>
      <c r="D14" s="7">
        <v>4.4176923076923078</v>
      </c>
      <c r="E14" s="7">
        <v>4.5649999999999995</v>
      </c>
      <c r="F14" s="7"/>
      <c r="G14" s="7">
        <f t="shared" si="0"/>
        <v>4.5248397435897436</v>
      </c>
      <c r="H14" s="5">
        <v>3.3</v>
      </c>
      <c r="I14" s="5">
        <v>3.25</v>
      </c>
      <c r="J14" s="8">
        <f t="shared" si="1"/>
        <v>1.3116666666666665</v>
      </c>
    </row>
    <row r="15" spans="1:10" x14ac:dyDescent="0.6">
      <c r="A15" s="6" t="s">
        <v>19</v>
      </c>
      <c r="B15" s="7">
        <v>4.5708333333333337</v>
      </c>
      <c r="C15" s="7">
        <v>4.5143749999999985</v>
      </c>
      <c r="D15" s="7">
        <v>4.3969230769230769</v>
      </c>
      <c r="E15" s="7">
        <v>4.4562500000000007</v>
      </c>
      <c r="F15" s="7"/>
      <c r="G15" s="7">
        <f t="shared" si="0"/>
        <v>4.4845953525641029</v>
      </c>
      <c r="H15" s="5">
        <v>3.31</v>
      </c>
      <c r="I15" s="5">
        <v>3</v>
      </c>
      <c r="J15" s="8">
        <f t="shared" si="1"/>
        <v>1.5708333333333337</v>
      </c>
    </row>
    <row r="16" spans="1:10" x14ac:dyDescent="0.6">
      <c r="A16" s="6" t="s">
        <v>20</v>
      </c>
      <c r="B16" s="7">
        <v>4.5741666666666667</v>
      </c>
      <c r="C16" s="7">
        <v>4.4362499999999994</v>
      </c>
      <c r="D16" s="7">
        <v>4.3969230769230769</v>
      </c>
      <c r="E16" s="7">
        <v>4.4674999999999994</v>
      </c>
      <c r="F16" s="7"/>
      <c r="G16" s="7">
        <f t="shared" si="0"/>
        <v>4.4687099358974356</v>
      </c>
      <c r="H16" s="5">
        <v>2.97</v>
      </c>
      <c r="I16" s="5">
        <v>3</v>
      </c>
      <c r="J16" s="8">
        <f t="shared" si="1"/>
        <v>1.5741666666666667</v>
      </c>
    </row>
    <row r="17" spans="1:10" x14ac:dyDescent="0.6">
      <c r="A17" s="6" t="s">
        <v>21</v>
      </c>
      <c r="B17" s="7">
        <v>4.2116666666666669</v>
      </c>
      <c r="C17" s="7">
        <v>3.975625</v>
      </c>
      <c r="D17" s="7">
        <v>4.1623076923076932</v>
      </c>
      <c r="E17" s="7">
        <v>4.3174999999999999</v>
      </c>
      <c r="F17" s="7"/>
      <c r="G17" s="7">
        <f t="shared" si="0"/>
        <v>4.1667748397435895</v>
      </c>
      <c r="H17" s="5">
        <v>2.82</v>
      </c>
      <c r="I17" s="5">
        <v>3</v>
      </c>
      <c r="J17" s="8">
        <f t="shared" si="1"/>
        <v>1.2116666666666669</v>
      </c>
    </row>
    <row r="18" spans="1:10" x14ac:dyDescent="0.6">
      <c r="A18" s="6" t="s">
        <v>22</v>
      </c>
      <c r="B18" s="7">
        <v>4.0358333333333327</v>
      </c>
      <c r="C18" s="7">
        <v>3.9786666666666664</v>
      </c>
      <c r="D18" s="7">
        <v>3.9146153846153839</v>
      </c>
      <c r="E18" s="7">
        <v>4.1125000000000007</v>
      </c>
      <c r="F18" s="7"/>
      <c r="G18" s="7">
        <f t="shared" si="0"/>
        <v>4.0104038461538458</v>
      </c>
      <c r="H18" s="5">
        <v>2.93</v>
      </c>
      <c r="I18" s="5">
        <v>3</v>
      </c>
      <c r="J18" s="8">
        <f t="shared" si="1"/>
        <v>1.0358333333333327</v>
      </c>
    </row>
    <row r="19" spans="1:10" x14ac:dyDescent="0.6">
      <c r="A19" s="6" t="s">
        <v>23</v>
      </c>
      <c r="B19" s="7">
        <v>4.0708333333333337</v>
      </c>
      <c r="C19" s="7">
        <v>4.0556250000000009</v>
      </c>
      <c r="D19" s="7">
        <v>3.8830769230769233</v>
      </c>
      <c r="E19" s="7">
        <v>4.0262500000000001</v>
      </c>
      <c r="F19" s="7"/>
      <c r="G19" s="7">
        <f t="shared" si="0"/>
        <v>4.0089463141025652</v>
      </c>
      <c r="H19" s="5">
        <v>2.8</v>
      </c>
      <c r="I19" s="5">
        <v>3</v>
      </c>
      <c r="J19" s="8">
        <f t="shared" si="1"/>
        <v>1.0708333333333337</v>
      </c>
    </row>
    <row r="20" spans="1:10" x14ac:dyDescent="0.6">
      <c r="A20" s="6" t="s">
        <v>24</v>
      </c>
      <c r="B20" s="7">
        <v>4.0108333333333333</v>
      </c>
      <c r="C20" s="7">
        <v>3.9812499999999997</v>
      </c>
      <c r="D20" s="7">
        <v>3.8523076923076922</v>
      </c>
      <c r="E20" s="7">
        <v>4</v>
      </c>
      <c r="F20" s="7"/>
      <c r="G20" s="7">
        <f t="shared" si="0"/>
        <v>3.9610977564102563</v>
      </c>
      <c r="H20" s="5">
        <v>2.92</v>
      </c>
      <c r="I20" s="5">
        <v>3</v>
      </c>
      <c r="J20" s="8">
        <f t="shared" si="1"/>
        <v>1.0108333333333333</v>
      </c>
    </row>
    <row r="21" spans="1:10" x14ac:dyDescent="0.6">
      <c r="A21" s="6" t="s">
        <v>25</v>
      </c>
      <c r="B21" s="7">
        <v>4.0483333333333338</v>
      </c>
      <c r="C21" s="7">
        <v>4.0050000000000008</v>
      </c>
      <c r="D21" s="7">
        <v>3.8738461538461548</v>
      </c>
      <c r="E21" s="7">
        <v>3.9825000000000004</v>
      </c>
      <c r="F21" s="7"/>
      <c r="G21" s="7">
        <f t="shared" si="0"/>
        <v>3.9774198717948726</v>
      </c>
      <c r="H21" s="5">
        <v>2.81</v>
      </c>
      <c r="I21" s="5">
        <v>2.75</v>
      </c>
      <c r="J21" s="8">
        <f t="shared" si="1"/>
        <v>1.2983333333333338</v>
      </c>
    </row>
    <row r="22" spans="1:10" x14ac:dyDescent="0.6">
      <c r="A22" s="6" t="s">
        <v>26</v>
      </c>
      <c r="B22" s="7">
        <v>4.025833333333332</v>
      </c>
      <c r="C22" s="7">
        <v>3.9556249999999995</v>
      </c>
      <c r="D22" s="7">
        <v>3.8600000000000003</v>
      </c>
      <c r="E22" s="7">
        <v>3.9737500000000003</v>
      </c>
      <c r="F22" s="7"/>
      <c r="G22" s="7">
        <f t="shared" si="0"/>
        <v>3.9538020833333332</v>
      </c>
      <c r="H22" s="5">
        <v>2.83</v>
      </c>
      <c r="I22" s="5">
        <v>2.75</v>
      </c>
      <c r="J22" s="8">
        <f t="shared" si="1"/>
        <v>1.275833333333332</v>
      </c>
    </row>
    <row r="23" spans="1:10" x14ac:dyDescent="0.6">
      <c r="A23" s="6" t="s">
        <v>27</v>
      </c>
      <c r="B23" s="7">
        <v>4.0541666666666663</v>
      </c>
      <c r="C23" s="7">
        <v>3.9673333333333338</v>
      </c>
      <c r="D23" s="7">
        <v>3.8561538461538469</v>
      </c>
      <c r="E23" s="7">
        <v>3.88625</v>
      </c>
      <c r="F23" s="7"/>
      <c r="G23" s="7">
        <f t="shared" si="0"/>
        <v>3.9409759615384616</v>
      </c>
      <c r="H23" s="5">
        <v>2.77</v>
      </c>
      <c r="I23" s="5">
        <v>2.75</v>
      </c>
      <c r="J23" s="8">
        <f t="shared" si="1"/>
        <v>1.3041666666666663</v>
      </c>
    </row>
    <row r="24" spans="1:10" x14ac:dyDescent="0.6">
      <c r="A24" s="6" t="s">
        <v>28</v>
      </c>
      <c r="B24" s="7">
        <v>4.0175000000000001</v>
      </c>
      <c r="C24" s="7">
        <v>3.9385714285714286</v>
      </c>
      <c r="D24" s="7">
        <v>3.8453846153846154</v>
      </c>
      <c r="E24" s="7">
        <v>3.9312500000000004</v>
      </c>
      <c r="F24" s="7"/>
      <c r="G24" s="7">
        <f t="shared" si="0"/>
        <v>3.9331765109890111</v>
      </c>
      <c r="H24" s="5">
        <v>2.76</v>
      </c>
      <c r="I24" s="5">
        <v>2.75</v>
      </c>
      <c r="J24" s="8">
        <f t="shared" si="1"/>
        <v>1.2675000000000001</v>
      </c>
    </row>
    <row r="25" spans="1:10" x14ac:dyDescent="0.6">
      <c r="A25" s="6" t="s">
        <v>29</v>
      </c>
      <c r="B25" s="7">
        <v>4.0274999999999999</v>
      </c>
      <c r="C25" s="7">
        <v>3.9349999999999996</v>
      </c>
      <c r="D25" s="7">
        <v>3.8430769230769233</v>
      </c>
      <c r="E25" s="7">
        <v>3.9200000000000004</v>
      </c>
      <c r="F25" s="7"/>
      <c r="G25" s="7">
        <f t="shared" si="0"/>
        <v>3.9313942307692309</v>
      </c>
      <c r="H25" s="5">
        <v>2.82</v>
      </c>
      <c r="I25" s="5">
        <v>2.75</v>
      </c>
      <c r="J25" s="8">
        <f t="shared" si="1"/>
        <v>1.2774999999999999</v>
      </c>
    </row>
    <row r="26" spans="1:10" x14ac:dyDescent="0.6">
      <c r="A26" s="6" t="s">
        <v>30</v>
      </c>
      <c r="B26" s="7">
        <v>4.0525000000000002</v>
      </c>
      <c r="C26" s="7">
        <v>3.9493749999999994</v>
      </c>
      <c r="D26" s="7">
        <v>3.8676923076923071</v>
      </c>
      <c r="E26" s="7">
        <v>3.87</v>
      </c>
      <c r="F26" s="7"/>
      <c r="G26" s="7">
        <f t="shared" si="0"/>
        <v>3.934891826923077</v>
      </c>
      <c r="H26" s="5">
        <v>2.82</v>
      </c>
      <c r="I26" s="5">
        <v>2.75</v>
      </c>
      <c r="J26" s="8">
        <f t="shared" si="1"/>
        <v>1.3025000000000002</v>
      </c>
    </row>
    <row r="27" spans="1:10" x14ac:dyDescent="0.6">
      <c r="A27" s="6" t="s">
        <v>31</v>
      </c>
      <c r="B27" s="7">
        <v>4.0541666666666671</v>
      </c>
      <c r="C27" s="7">
        <v>3.941875</v>
      </c>
      <c r="D27" s="7">
        <v>3.8692307692307684</v>
      </c>
      <c r="E27" s="7">
        <v>3.8642857142857143</v>
      </c>
      <c r="F27" s="7"/>
      <c r="G27" s="7">
        <f t="shared" si="0"/>
        <v>3.9323895375457871</v>
      </c>
      <c r="H27" s="5">
        <v>2.78</v>
      </c>
      <c r="I27" s="5">
        <v>2.75</v>
      </c>
      <c r="J27" s="8">
        <f t="shared" si="1"/>
        <v>1.3041666666666671</v>
      </c>
    </row>
    <row r="28" spans="1:10" x14ac:dyDescent="0.6">
      <c r="A28" s="6" t="s">
        <v>32</v>
      </c>
      <c r="B28" s="7">
        <v>3.811666666666667</v>
      </c>
      <c r="C28" s="7">
        <v>3.7456250000000004</v>
      </c>
      <c r="D28" s="7">
        <v>3.8166666666666664</v>
      </c>
      <c r="E28" s="7">
        <v>3.7912500000000002</v>
      </c>
      <c r="F28" s="7"/>
      <c r="G28" s="7">
        <f t="shared" si="0"/>
        <v>3.7913020833333335</v>
      </c>
      <c r="H28" s="5">
        <v>2.71</v>
      </c>
      <c r="I28" s="5">
        <v>2.75</v>
      </c>
      <c r="J28" s="8">
        <f t="shared" si="1"/>
        <v>1.061666666666667</v>
      </c>
    </row>
    <row r="29" spans="1:10" x14ac:dyDescent="0.6">
      <c r="A29" s="6" t="s">
        <v>33</v>
      </c>
      <c r="B29" s="7">
        <v>3.7283333333333335</v>
      </c>
      <c r="C29" s="7">
        <v>3.6368749999999994</v>
      </c>
      <c r="D29" s="7">
        <v>3.7446153846153845</v>
      </c>
      <c r="E29" s="7">
        <v>3.6850000000000001</v>
      </c>
      <c r="F29" s="7"/>
      <c r="G29" s="7">
        <f t="shared" si="0"/>
        <v>3.6987059294871796</v>
      </c>
      <c r="H29" s="5">
        <v>2.75</v>
      </c>
      <c r="I29" s="5">
        <v>2.75</v>
      </c>
      <c r="J29" s="8">
        <f t="shared" si="1"/>
        <v>0.9783333333333335</v>
      </c>
    </row>
    <row r="30" spans="1:10" x14ac:dyDescent="0.6">
      <c r="A30" s="6" t="s">
        <v>34</v>
      </c>
      <c r="B30" s="7">
        <v>3.7699999999999996</v>
      </c>
      <c r="C30" s="7">
        <v>3.5993749999999998</v>
      </c>
      <c r="D30" s="7">
        <v>3.7107692307692304</v>
      </c>
      <c r="E30" s="7">
        <v>3.6542857142857139</v>
      </c>
      <c r="F30" s="7"/>
      <c r="G30" s="7">
        <f t="shared" si="0"/>
        <v>3.6836074862637362</v>
      </c>
      <c r="H30" s="5">
        <v>2.68</v>
      </c>
      <c r="I30" s="5">
        <v>2.75</v>
      </c>
      <c r="J30" s="8">
        <f t="shared" si="1"/>
        <v>1.0199999999999996</v>
      </c>
    </row>
    <row r="31" spans="1:10" x14ac:dyDescent="0.6">
      <c r="A31" s="6" t="s">
        <v>35</v>
      </c>
      <c r="B31" s="7">
        <v>3.7008333333333332</v>
      </c>
      <c r="C31" s="7">
        <v>3.5437499999999997</v>
      </c>
      <c r="D31" s="7">
        <v>3.6530769230769233</v>
      </c>
      <c r="E31" s="7">
        <v>3.4987500000000002</v>
      </c>
      <c r="F31" s="7"/>
      <c r="G31" s="7">
        <f t="shared" si="0"/>
        <v>3.599102564102564</v>
      </c>
      <c r="H31" s="5">
        <v>2.63</v>
      </c>
      <c r="I31" s="5">
        <v>2.75</v>
      </c>
      <c r="J31" s="8">
        <f t="shared" si="1"/>
        <v>0.9508333333333332</v>
      </c>
    </row>
    <row r="32" spans="1:10" x14ac:dyDescent="0.6">
      <c r="A32" s="6" t="s">
        <v>36</v>
      </c>
      <c r="B32" s="7">
        <v>3.7249999999999996</v>
      </c>
      <c r="C32" s="7">
        <v>3.5193750000000001</v>
      </c>
      <c r="D32" s="7">
        <v>3.5938461538461537</v>
      </c>
      <c r="E32" s="7">
        <v>3.51125</v>
      </c>
      <c r="F32" s="7"/>
      <c r="G32" s="7">
        <f t="shared" si="0"/>
        <v>3.5873677884615383</v>
      </c>
      <c r="H32" s="5">
        <v>2.59</v>
      </c>
      <c r="I32" s="5">
        <v>2.75</v>
      </c>
      <c r="J32" s="8">
        <f t="shared" si="1"/>
        <v>0.97499999999999964</v>
      </c>
    </row>
    <row r="33" spans="1:10" x14ac:dyDescent="0.6">
      <c r="A33" s="6" t="s">
        <v>37</v>
      </c>
      <c r="B33" s="7">
        <v>3.6500000000000004</v>
      </c>
      <c r="C33" s="7">
        <v>3.4781249999999999</v>
      </c>
      <c r="D33" s="7">
        <v>3.54</v>
      </c>
      <c r="E33" s="7">
        <v>3.4325000000000001</v>
      </c>
      <c r="F33" s="7"/>
      <c r="G33" s="7">
        <f t="shared" si="0"/>
        <v>3.5251562500000002</v>
      </c>
      <c r="H33" s="5">
        <v>2.52</v>
      </c>
      <c r="I33" s="5">
        <v>2.75</v>
      </c>
      <c r="J33" s="8">
        <f t="shared" si="1"/>
        <v>0.90000000000000036</v>
      </c>
    </row>
    <row r="34" spans="1:10" x14ac:dyDescent="0.6">
      <c r="A34" s="6" t="s">
        <v>38</v>
      </c>
      <c r="B34" s="7">
        <v>3.6516666666666668</v>
      </c>
      <c r="C34" s="7">
        <v>3.3768750000000001</v>
      </c>
      <c r="D34" s="7">
        <v>3.4915384615384619</v>
      </c>
      <c r="E34" s="7">
        <v>3.3950000000000005</v>
      </c>
      <c r="F34" s="7"/>
      <c r="G34" s="7">
        <f t="shared" si="0"/>
        <v>3.4787700320512824</v>
      </c>
      <c r="H34" s="5">
        <v>2.62</v>
      </c>
      <c r="I34" s="5">
        <v>2.75</v>
      </c>
      <c r="J34" s="8">
        <f t="shared" si="1"/>
        <v>0.90166666666666684</v>
      </c>
    </row>
    <row r="35" spans="1:10" x14ac:dyDescent="0.6">
      <c r="A35" s="6" t="s">
        <v>39</v>
      </c>
      <c r="B35" s="7">
        <v>3.6875000000000004</v>
      </c>
      <c r="C35" s="7">
        <v>3.4686666666666657</v>
      </c>
      <c r="D35" s="7">
        <v>3.4707692307692306</v>
      </c>
      <c r="E35" s="7">
        <v>3.3612500000000001</v>
      </c>
      <c r="F35" s="7"/>
      <c r="G35" s="7">
        <f t="shared" si="0"/>
        <v>3.497046474358974</v>
      </c>
      <c r="H35" s="5">
        <v>2.52</v>
      </c>
      <c r="I35" s="5">
        <v>2.5</v>
      </c>
      <c r="J35" s="8">
        <f t="shared" si="1"/>
        <v>1.1875000000000004</v>
      </c>
    </row>
    <row r="36" spans="1:10" x14ac:dyDescent="0.6">
      <c r="A36" s="6" t="s">
        <v>40</v>
      </c>
      <c r="B36" s="7">
        <v>3.6108333333333342</v>
      </c>
      <c r="C36" s="7">
        <v>3.3646666666666669</v>
      </c>
      <c r="D36" s="7">
        <v>3.4653846153846155</v>
      </c>
      <c r="E36" s="7">
        <v>3.3462499999999999</v>
      </c>
      <c r="F36" s="7"/>
      <c r="G36" s="7">
        <f t="shared" si="0"/>
        <v>3.446783653846154</v>
      </c>
      <c r="H36" s="5">
        <v>2.5499999999999998</v>
      </c>
      <c r="I36" s="5">
        <v>2.5</v>
      </c>
      <c r="J36" s="8">
        <f t="shared" si="1"/>
        <v>1.1108333333333342</v>
      </c>
    </row>
    <row r="37" spans="1:10" x14ac:dyDescent="0.6">
      <c r="A37" s="6" t="s">
        <v>41</v>
      </c>
      <c r="B37" s="7">
        <v>3.5858333333333339</v>
      </c>
      <c r="C37" s="7">
        <v>3.3366666666666664</v>
      </c>
      <c r="D37" s="7">
        <v>3.4438461538461533</v>
      </c>
      <c r="E37" s="7">
        <v>3.3525</v>
      </c>
      <c r="F37" s="7"/>
      <c r="G37" s="7">
        <f t="shared" si="0"/>
        <v>3.4297115384615386</v>
      </c>
      <c r="H37" s="5">
        <v>2.64</v>
      </c>
      <c r="I37" s="5">
        <v>2.5</v>
      </c>
      <c r="J37" s="8">
        <f t="shared" si="1"/>
        <v>1.0858333333333339</v>
      </c>
    </row>
    <row r="38" spans="1:10" x14ac:dyDescent="0.6">
      <c r="A38" s="6" t="s">
        <v>42</v>
      </c>
      <c r="B38" s="7">
        <v>3.710833333333333</v>
      </c>
      <c r="C38" s="7">
        <v>3.393333333333334</v>
      </c>
      <c r="D38" s="7">
        <v>3.473846153846154</v>
      </c>
      <c r="E38" s="7">
        <v>3.3937499999999998</v>
      </c>
      <c r="F38" s="7"/>
      <c r="G38" s="7">
        <f t="shared" si="0"/>
        <v>3.4929407051282055</v>
      </c>
      <c r="H38" s="5">
        <v>2.61</v>
      </c>
      <c r="I38" s="5">
        <v>2.5</v>
      </c>
      <c r="J38" s="8">
        <f t="shared" si="1"/>
        <v>1.210833333333333</v>
      </c>
    </row>
    <row r="39" spans="1:10" x14ac:dyDescent="0.6">
      <c r="A39" s="6" t="s">
        <v>43</v>
      </c>
      <c r="B39" s="7">
        <v>3.686666666666667</v>
      </c>
      <c r="C39" s="7">
        <v>3.448666666666667</v>
      </c>
      <c r="D39" s="7">
        <v>3.4923076923076923</v>
      </c>
      <c r="E39" s="7">
        <v>3.3725000000000001</v>
      </c>
      <c r="F39" s="7"/>
      <c r="G39" s="7">
        <f t="shared" si="0"/>
        <v>3.5000352564102566</v>
      </c>
      <c r="H39" s="5">
        <v>2.74</v>
      </c>
      <c r="I39" s="5">
        <v>2.5</v>
      </c>
      <c r="J39" s="8">
        <f t="shared" si="1"/>
        <v>1.186666666666667</v>
      </c>
    </row>
    <row r="40" spans="1:10" x14ac:dyDescent="0.6">
      <c r="A40" s="6" t="s">
        <v>44</v>
      </c>
      <c r="B40" s="7">
        <v>3.6908333333333334</v>
      </c>
      <c r="C40" s="7">
        <v>3.3426666666666667</v>
      </c>
      <c r="D40" s="7">
        <v>3.5015384615384617</v>
      </c>
      <c r="E40" s="7">
        <v>3.3812500000000001</v>
      </c>
      <c r="F40" s="7"/>
      <c r="G40" s="7">
        <f t="shared" si="0"/>
        <v>3.4790721153846156</v>
      </c>
      <c r="H40" s="5">
        <v>2.65</v>
      </c>
      <c r="I40" s="5">
        <v>2.5</v>
      </c>
      <c r="J40" s="8">
        <f t="shared" si="1"/>
        <v>1.1908333333333334</v>
      </c>
    </row>
    <row r="41" spans="1:10" x14ac:dyDescent="0.6">
      <c r="A41" s="6" t="s">
        <v>45</v>
      </c>
      <c r="B41" s="7">
        <v>3.6308333333333329</v>
      </c>
      <c r="C41" s="7">
        <v>3.2480000000000002</v>
      </c>
      <c r="D41" s="7">
        <v>3.5266666666666668</v>
      </c>
      <c r="E41" s="7">
        <v>3.3314285714285714</v>
      </c>
      <c r="F41" s="7"/>
      <c r="G41" s="7">
        <f t="shared" si="0"/>
        <v>3.4342321428571427</v>
      </c>
      <c r="H41" s="5">
        <v>2.68</v>
      </c>
      <c r="I41" s="5">
        <v>2.5</v>
      </c>
      <c r="J41" s="8">
        <f t="shared" si="1"/>
        <v>1.1308333333333329</v>
      </c>
    </row>
    <row r="42" spans="1:10" x14ac:dyDescent="0.6">
      <c r="A42" s="6" t="s">
        <v>46</v>
      </c>
      <c r="B42" s="7">
        <v>3.645</v>
      </c>
      <c r="C42" s="7">
        <v>3.1953333333333331</v>
      </c>
      <c r="D42" s="7">
        <v>3.3774999999999995</v>
      </c>
      <c r="E42" s="7">
        <v>3.3337500000000002</v>
      </c>
      <c r="F42" s="7"/>
      <c r="G42" s="7">
        <f t="shared" si="0"/>
        <v>3.3878958333333333</v>
      </c>
      <c r="H42" s="5">
        <v>2.67</v>
      </c>
      <c r="I42" s="5">
        <v>2.5</v>
      </c>
      <c r="J42" s="8">
        <f t="shared" si="1"/>
        <v>1.145</v>
      </c>
    </row>
    <row r="43" spans="1:10" x14ac:dyDescent="0.6">
      <c r="A43" s="6" t="s">
        <v>47</v>
      </c>
      <c r="B43" s="7">
        <v>3.5566666666666666</v>
      </c>
      <c r="C43" s="7">
        <v>3.2</v>
      </c>
      <c r="D43" s="7">
        <v>3.3658333333333332</v>
      </c>
      <c r="E43" s="7">
        <v>3.2757142857142858</v>
      </c>
      <c r="F43" s="7"/>
      <c r="G43" s="7">
        <f t="shared" si="0"/>
        <v>3.3495535714285714</v>
      </c>
      <c r="H43" s="5">
        <v>2.68</v>
      </c>
      <c r="I43" s="5">
        <v>2.5</v>
      </c>
      <c r="J43" s="8">
        <f t="shared" si="1"/>
        <v>1.0566666666666666</v>
      </c>
    </row>
    <row r="44" spans="1:10" x14ac:dyDescent="0.6">
      <c r="A44" s="6" t="s">
        <v>48</v>
      </c>
      <c r="B44" s="7">
        <v>3.5458333333333329</v>
      </c>
      <c r="C44" s="7">
        <v>3.1733333333333333</v>
      </c>
      <c r="D44" s="7">
        <v>3.3815384615384616</v>
      </c>
      <c r="E44" s="7">
        <v>3.2800000000000002</v>
      </c>
      <c r="F44" s="7"/>
      <c r="G44" s="7">
        <f t="shared" si="0"/>
        <v>3.3451762820512823</v>
      </c>
      <c r="H44" s="5">
        <v>2.65</v>
      </c>
      <c r="I44" s="5">
        <v>2.5</v>
      </c>
      <c r="J44" s="8">
        <f t="shared" si="1"/>
        <v>1.0458333333333329</v>
      </c>
    </row>
    <row r="45" spans="1:10" x14ac:dyDescent="0.6">
      <c r="A45" s="6" t="s">
        <v>49</v>
      </c>
      <c r="B45" s="7">
        <v>3.544166666666666</v>
      </c>
      <c r="C45" s="7">
        <v>3.1430769230769231</v>
      </c>
      <c r="D45" s="7">
        <v>3.3600000000000008</v>
      </c>
      <c r="E45" s="7">
        <v>3.2228571428571433</v>
      </c>
      <c r="F45" s="7"/>
      <c r="G45" s="7">
        <f t="shared" si="0"/>
        <v>3.3175251831501837</v>
      </c>
      <c r="H45" s="5">
        <v>2.66</v>
      </c>
      <c r="I45" s="5">
        <v>2.5</v>
      </c>
      <c r="J45" s="8">
        <f t="shared" si="1"/>
        <v>1.044166666666666</v>
      </c>
    </row>
    <row r="46" spans="1:10" x14ac:dyDescent="0.6">
      <c r="A46" s="6" t="s">
        <v>50</v>
      </c>
      <c r="B46" s="7">
        <v>3.4966666666666661</v>
      </c>
      <c r="C46" s="7">
        <v>3.1226666666666669</v>
      </c>
      <c r="D46" s="7">
        <v>3.3369230769230773</v>
      </c>
      <c r="E46" s="7">
        <v>3.311666666666667</v>
      </c>
      <c r="F46" s="7"/>
      <c r="G46" s="7">
        <f t="shared" si="0"/>
        <v>3.3169807692307698</v>
      </c>
      <c r="H46" s="5">
        <v>2.67</v>
      </c>
      <c r="I46" s="5">
        <v>2.5</v>
      </c>
      <c r="J46" s="8">
        <f t="shared" si="1"/>
        <v>0.99666666666666615</v>
      </c>
    </row>
    <row r="47" spans="1:10" x14ac:dyDescent="0.6">
      <c r="A47" s="6" t="s">
        <v>51</v>
      </c>
      <c r="B47" s="7">
        <v>3.4891666666666672</v>
      </c>
      <c r="C47" s="7">
        <v>3.0884615384615377</v>
      </c>
      <c r="D47" s="7">
        <v>3.3223076923076929</v>
      </c>
      <c r="E47" s="7">
        <v>3.2716666666666665</v>
      </c>
      <c r="F47" s="7"/>
      <c r="G47" s="7">
        <f t="shared" si="0"/>
        <v>3.292900641025641</v>
      </c>
      <c r="H47" s="5">
        <v>2.6669999999999998</v>
      </c>
      <c r="I47" s="5">
        <v>2.5</v>
      </c>
      <c r="J47" s="8">
        <f t="shared" si="1"/>
        <v>0.98916666666666719</v>
      </c>
    </row>
    <row r="48" spans="1:10" x14ac:dyDescent="0.6">
      <c r="A48" s="6" t="s">
        <v>52</v>
      </c>
      <c r="B48" s="7">
        <v>3.5054545454545458</v>
      </c>
      <c r="C48" s="7">
        <v>3.0859999999999999</v>
      </c>
      <c r="D48" s="7">
        <v>3.3292307692307692</v>
      </c>
      <c r="E48" s="7">
        <v>3.2683333333333331</v>
      </c>
      <c r="F48" s="7"/>
      <c r="G48" s="7">
        <f t="shared" si="0"/>
        <v>3.2972546620046619</v>
      </c>
      <c r="H48" s="5">
        <v>2.6989999999999998</v>
      </c>
      <c r="I48" s="5">
        <v>2.5</v>
      </c>
      <c r="J48" s="8">
        <f t="shared" si="1"/>
        <v>1.0054545454545458</v>
      </c>
    </row>
    <row r="49" spans="1:10" x14ac:dyDescent="0.6">
      <c r="A49" s="6" t="s">
        <v>53</v>
      </c>
      <c r="B49" s="7">
        <v>3.5325000000000002</v>
      </c>
      <c r="C49" s="7">
        <v>3.0686666666666667</v>
      </c>
      <c r="D49" s="7">
        <v>3.3369230769230773</v>
      </c>
      <c r="E49" s="7">
        <v>3.2966666666666669</v>
      </c>
      <c r="F49" s="7"/>
      <c r="G49" s="7">
        <f t="shared" si="0"/>
        <v>3.3086891025641028</v>
      </c>
      <c r="H49" s="5">
        <v>2.74</v>
      </c>
      <c r="I49" s="5">
        <v>2.5</v>
      </c>
      <c r="J49" s="8">
        <f t="shared" si="1"/>
        <v>1.0325000000000002</v>
      </c>
    </row>
    <row r="50" spans="1:10" x14ac:dyDescent="0.6">
      <c r="A50" s="6" t="s">
        <v>54</v>
      </c>
      <c r="B50" s="7">
        <v>3.6025000000000005</v>
      </c>
      <c r="C50" s="7">
        <v>3.0713333333333335</v>
      </c>
      <c r="D50" s="7">
        <v>3.436666666666667</v>
      </c>
      <c r="E50" s="7">
        <v>3.3283333333333336</v>
      </c>
      <c r="F50" s="7"/>
      <c r="G50" s="7">
        <f t="shared" si="0"/>
        <v>3.3597083333333337</v>
      </c>
      <c r="H50" s="5">
        <v>2.6579999999999999</v>
      </c>
      <c r="I50" s="5">
        <v>2.5</v>
      </c>
      <c r="J50" s="8">
        <f t="shared" si="1"/>
        <v>1.1025000000000005</v>
      </c>
    </row>
    <row r="51" spans="1:10" x14ac:dyDescent="0.6">
      <c r="A51" s="6" t="s">
        <v>55</v>
      </c>
      <c r="B51" s="7">
        <v>3.5041666666666664</v>
      </c>
      <c r="C51" s="7">
        <v>3.0566666666666666</v>
      </c>
      <c r="D51" s="7">
        <v>3.2938461538461543</v>
      </c>
      <c r="E51" s="7">
        <v>3.268333333333334</v>
      </c>
      <c r="F51" s="7"/>
      <c r="G51" s="7">
        <f t="shared" si="0"/>
        <v>3.2807532051282053</v>
      </c>
      <c r="H51" s="5">
        <v>2.7029999999999998</v>
      </c>
      <c r="I51" s="5">
        <v>2.5</v>
      </c>
      <c r="J51" s="8">
        <f t="shared" si="1"/>
        <v>1.0041666666666664</v>
      </c>
    </row>
    <row r="52" spans="1:10" x14ac:dyDescent="0.6">
      <c r="A52" s="6" t="s">
        <v>56</v>
      </c>
      <c r="B52" s="7">
        <v>3.3891666666666667</v>
      </c>
      <c r="C52" s="7">
        <v>2.9699999999999998</v>
      </c>
      <c r="D52" s="7">
        <v>3.2738461538461539</v>
      </c>
      <c r="E52" s="7">
        <v>3.24</v>
      </c>
      <c r="F52" s="7"/>
      <c r="G52" s="7">
        <f t="shared" si="0"/>
        <v>3.2182532051282053</v>
      </c>
      <c r="H52" s="5">
        <v>2.6419999999999999</v>
      </c>
      <c r="I52" s="5">
        <v>2.5</v>
      </c>
      <c r="J52" s="8">
        <f t="shared" si="1"/>
        <v>0.88916666666666666</v>
      </c>
    </row>
    <row r="53" spans="1:10" x14ac:dyDescent="0.6">
      <c r="A53" s="6" t="s">
        <v>57</v>
      </c>
      <c r="B53" s="7">
        <v>3.3250000000000006</v>
      </c>
      <c r="C53" s="7">
        <v>2.9660000000000006</v>
      </c>
      <c r="D53" s="7">
        <v>3.2530769230769234</v>
      </c>
      <c r="E53" s="7">
        <v>3.22</v>
      </c>
      <c r="F53" s="7"/>
      <c r="G53" s="7">
        <f t="shared" si="0"/>
        <v>3.1910192307692316</v>
      </c>
      <c r="H53" s="5">
        <v>2.6539999999999999</v>
      </c>
      <c r="I53" s="5">
        <v>2.5</v>
      </c>
      <c r="J53" s="8">
        <f t="shared" si="1"/>
        <v>0.82500000000000062</v>
      </c>
    </row>
    <row r="54" spans="1:10" x14ac:dyDescent="0.6">
      <c r="A54" s="6" t="s">
        <v>58</v>
      </c>
      <c r="B54" s="7">
        <v>3.2808333333333337</v>
      </c>
      <c r="C54" s="7">
        <v>2.9440000000000004</v>
      </c>
      <c r="D54" s="7">
        <v>3.2307692307692308</v>
      </c>
      <c r="E54" s="7">
        <v>3.1966666666666668</v>
      </c>
      <c r="F54" s="7"/>
      <c r="G54" s="7">
        <f t="shared" si="0"/>
        <v>3.1630673076923084</v>
      </c>
      <c r="H54" s="5">
        <v>2.6389999999999998</v>
      </c>
      <c r="I54" s="5">
        <v>2.5</v>
      </c>
      <c r="J54" s="8">
        <f t="shared" si="1"/>
        <v>0.78083333333333371</v>
      </c>
    </row>
    <row r="55" spans="1:10" x14ac:dyDescent="0.6">
      <c r="A55" s="6" t="s">
        <v>59</v>
      </c>
      <c r="B55" s="7">
        <v>3.2450000000000006</v>
      </c>
      <c r="C55" s="7">
        <v>2.9180000000000001</v>
      </c>
      <c r="D55" s="7">
        <v>3.1938461538461542</v>
      </c>
      <c r="E55" s="7">
        <v>3.1516666666666668</v>
      </c>
      <c r="F55" s="7"/>
      <c r="G55" s="7">
        <f t="shared" si="0"/>
        <v>3.1271282051282054</v>
      </c>
      <c r="H55" s="5">
        <v>2.6709999999999998</v>
      </c>
      <c r="I55" s="5">
        <v>2.5</v>
      </c>
      <c r="J55" s="8">
        <f t="shared" si="1"/>
        <v>0.74500000000000055</v>
      </c>
    </row>
    <row r="56" spans="1:10" x14ac:dyDescent="0.6">
      <c r="A56" s="6" t="s">
        <v>60</v>
      </c>
      <c r="B56" s="7">
        <v>3.2633333333333336</v>
      </c>
      <c r="C56" s="7">
        <v>2.9213333333333336</v>
      </c>
      <c r="D56" s="7">
        <v>3.1861538461538457</v>
      </c>
      <c r="E56" s="7">
        <v>3.1366666666666667</v>
      </c>
      <c r="F56" s="7"/>
      <c r="G56" s="7">
        <f t="shared" si="0"/>
        <v>3.1268717948717946</v>
      </c>
      <c r="H56" s="5">
        <v>2.6480000000000001</v>
      </c>
      <c r="I56" s="5">
        <v>2.5</v>
      </c>
      <c r="J56" s="8">
        <f t="shared" si="1"/>
        <v>0.76333333333333364</v>
      </c>
    </row>
    <row r="57" spans="1:10" x14ac:dyDescent="0.6">
      <c r="A57" s="6" t="s">
        <v>61</v>
      </c>
      <c r="B57" s="7">
        <v>3.2383333333333333</v>
      </c>
      <c r="C57" s="7">
        <v>2.9213333333333336</v>
      </c>
      <c r="D57" s="7">
        <v>3.1792307692307693</v>
      </c>
      <c r="E57" s="7">
        <v>3.1233333333333331</v>
      </c>
      <c r="F57" s="7"/>
      <c r="G57" s="7">
        <f t="shared" si="0"/>
        <v>3.1155576923076924</v>
      </c>
      <c r="H57" s="5">
        <v>2.657</v>
      </c>
      <c r="I57" s="5">
        <v>2.5</v>
      </c>
      <c r="J57" s="8">
        <f t="shared" si="1"/>
        <v>0.73833333333333329</v>
      </c>
    </row>
    <row r="58" spans="1:10" x14ac:dyDescent="0.6">
      <c r="A58" s="6" t="s">
        <v>62</v>
      </c>
      <c r="B58" s="7">
        <v>3.2733333333333334</v>
      </c>
      <c r="C58" s="7">
        <v>2.9020000000000001</v>
      </c>
      <c r="D58" s="7">
        <v>3.1838461538461535</v>
      </c>
      <c r="E58" s="7">
        <v>3.1383333333333332</v>
      </c>
      <c r="F58" s="7"/>
      <c r="G58" s="7">
        <f t="shared" si="0"/>
        <v>3.1243782051282052</v>
      </c>
      <c r="H58" s="5">
        <v>2.653</v>
      </c>
      <c r="I58" s="5">
        <v>2.5</v>
      </c>
      <c r="J58" s="8">
        <f t="shared" si="1"/>
        <v>0.77333333333333343</v>
      </c>
    </row>
    <row r="59" spans="1:10" x14ac:dyDescent="0.6">
      <c r="A59" s="6" t="s">
        <v>63</v>
      </c>
      <c r="B59" s="7">
        <v>3.2658333333333336</v>
      </c>
      <c r="C59" s="7">
        <v>2.9193333333333333</v>
      </c>
      <c r="D59" s="7">
        <v>3.1492307692307691</v>
      </c>
      <c r="E59" s="7">
        <v>3.1120000000000001</v>
      </c>
      <c r="F59" s="7"/>
      <c r="G59" s="7">
        <f t="shared" si="0"/>
        <v>3.1115993589743591</v>
      </c>
      <c r="H59" s="5">
        <v>2.6480000000000001</v>
      </c>
      <c r="I59" s="5">
        <v>2.5</v>
      </c>
      <c r="J59" s="8">
        <f t="shared" si="1"/>
        <v>0.76583333333333359</v>
      </c>
    </row>
    <row r="60" spans="1:10" x14ac:dyDescent="0.6">
      <c r="A60" s="6" t="s">
        <v>64</v>
      </c>
      <c r="B60" s="7">
        <v>3.269166666666667</v>
      </c>
      <c r="C60" s="7">
        <v>2.9113333333333329</v>
      </c>
      <c r="D60" s="7">
        <v>3.1384615384615389</v>
      </c>
      <c r="E60" s="7">
        <v>3.1199999999999997</v>
      </c>
      <c r="F60" s="7"/>
      <c r="G60" s="7">
        <f t="shared" si="0"/>
        <v>3.1097403846153848</v>
      </c>
      <c r="H60" s="5">
        <v>2.6379999999999999</v>
      </c>
      <c r="I60" s="5">
        <v>2.5</v>
      </c>
      <c r="J60" s="8">
        <f t="shared" si="1"/>
        <v>0.769166666666667</v>
      </c>
    </row>
    <row r="61" spans="1:10" x14ac:dyDescent="0.6">
      <c r="A61" s="6" t="s">
        <v>65</v>
      </c>
      <c r="B61" s="7">
        <v>3.2341666666666664</v>
      </c>
      <c r="C61" s="7">
        <v>2.8993333333333329</v>
      </c>
      <c r="D61" s="7">
        <v>3.117692307692308</v>
      </c>
      <c r="E61" s="7">
        <v>3.1116666666666664</v>
      </c>
      <c r="F61" s="7"/>
      <c r="G61" s="7">
        <f t="shared" si="0"/>
        <v>3.0907147435897433</v>
      </c>
      <c r="H61" s="5">
        <v>2.641</v>
      </c>
      <c r="I61" s="5">
        <v>2.5</v>
      </c>
      <c r="J61" s="8">
        <f t="shared" si="1"/>
        <v>0.73416666666666641</v>
      </c>
    </row>
    <row r="62" spans="1:10" x14ac:dyDescent="0.6">
      <c r="A62" s="6" t="s">
        <v>66</v>
      </c>
      <c r="B62" s="7">
        <v>3.2341666666666664</v>
      </c>
      <c r="C62" s="7">
        <v>2.8993333333333329</v>
      </c>
      <c r="D62" s="7">
        <v>3.117692307692308</v>
      </c>
      <c r="E62" s="7">
        <v>3.1116666666666664</v>
      </c>
      <c r="F62" s="7"/>
      <c r="G62" s="7">
        <f t="shared" si="0"/>
        <v>3.0907147435897433</v>
      </c>
      <c r="H62" s="5">
        <v>2.5880000000000001</v>
      </c>
      <c r="I62" s="5">
        <v>2.5</v>
      </c>
      <c r="J62" s="8">
        <f t="shared" si="1"/>
        <v>0.73416666666666641</v>
      </c>
    </row>
    <row r="63" spans="1:10" x14ac:dyDescent="0.6">
      <c r="A63" s="6" t="s">
        <v>67</v>
      </c>
      <c r="B63" s="7">
        <v>3.1958333333333333</v>
      </c>
      <c r="C63" s="7">
        <v>2.8433333333333333</v>
      </c>
      <c r="D63" s="7">
        <v>3.0861538461538469</v>
      </c>
      <c r="E63" s="7">
        <v>3.1033333333333335</v>
      </c>
      <c r="F63" s="7"/>
      <c r="G63" s="7">
        <f t="shared" si="0"/>
        <v>3.0571634615384617</v>
      </c>
      <c r="H63" s="5">
        <v>2.5739999999999998</v>
      </c>
      <c r="I63" s="5">
        <v>2.5</v>
      </c>
      <c r="J63" s="8">
        <f t="shared" si="1"/>
        <v>0.6958333333333333</v>
      </c>
    </row>
    <row r="64" spans="1:10" x14ac:dyDescent="0.6">
      <c r="A64" s="6" t="s">
        <v>68</v>
      </c>
      <c r="B64" s="7">
        <v>3.1841666666666661</v>
      </c>
      <c r="C64" s="7">
        <v>2.785333333333333</v>
      </c>
      <c r="D64" s="7">
        <v>3.0638461538461539</v>
      </c>
      <c r="E64" s="7">
        <v>3.0833333333333335</v>
      </c>
      <c r="F64" s="7"/>
      <c r="G64" s="7">
        <f t="shared" si="0"/>
        <v>3.0291698717948718</v>
      </c>
      <c r="H64" s="5">
        <v>2.504</v>
      </c>
      <c r="I64" s="5">
        <v>2.5</v>
      </c>
      <c r="J64" s="8">
        <f t="shared" si="1"/>
        <v>0.68416666666666615</v>
      </c>
    </row>
    <row r="65" spans="1:10" x14ac:dyDescent="0.6">
      <c r="A65" s="6" t="s">
        <v>69</v>
      </c>
      <c r="B65" s="7">
        <v>3.125833333333333</v>
      </c>
      <c r="C65" s="7">
        <v>2.6428571428571428</v>
      </c>
      <c r="D65" s="7">
        <v>3.0046153846153851</v>
      </c>
      <c r="E65" s="7">
        <v>3.0533333333333332</v>
      </c>
      <c r="F65" s="7"/>
      <c r="G65" s="7">
        <f t="shared" si="0"/>
        <v>2.9566597985347984</v>
      </c>
      <c r="H65" s="5">
        <v>2.4260000000000002</v>
      </c>
      <c r="I65" s="5">
        <v>2.25</v>
      </c>
      <c r="J65" s="8">
        <f t="shared" si="1"/>
        <v>0.87583333333333302</v>
      </c>
    </row>
    <row r="66" spans="1:10" x14ac:dyDescent="0.6">
      <c r="A66" s="6" t="s">
        <v>70</v>
      </c>
      <c r="B66" s="7">
        <v>3.1225000000000001</v>
      </c>
      <c r="C66" s="7">
        <v>2.6026666666666665</v>
      </c>
      <c r="D66" s="7">
        <v>2.973846153846154</v>
      </c>
      <c r="E66" s="7">
        <v>3.0533333333333332</v>
      </c>
      <c r="F66" s="7"/>
      <c r="G66" s="7">
        <f t="shared" si="0"/>
        <v>2.9380865384615382</v>
      </c>
      <c r="H66" s="5">
        <v>2.3969999999999998</v>
      </c>
      <c r="I66" s="5">
        <v>2.25</v>
      </c>
      <c r="J66" s="8">
        <f t="shared" si="1"/>
        <v>0.87250000000000005</v>
      </c>
    </row>
    <row r="67" spans="1:10" x14ac:dyDescent="0.6">
      <c r="A67" s="6" t="s">
        <v>71</v>
      </c>
      <c r="B67" s="7">
        <v>3.0691666666666664</v>
      </c>
      <c r="C67" s="7">
        <v>2.595333333333333</v>
      </c>
      <c r="D67" s="7">
        <v>2.9400000000000004</v>
      </c>
      <c r="E67" s="7">
        <v>3.02</v>
      </c>
      <c r="F67" s="7"/>
      <c r="G67" s="7">
        <f t="shared" si="0"/>
        <v>2.9061249999999998</v>
      </c>
      <c r="H67" s="5">
        <v>2.36</v>
      </c>
      <c r="I67" s="5">
        <v>2.25</v>
      </c>
      <c r="J67" s="8">
        <f t="shared" si="1"/>
        <v>0.81916666666666638</v>
      </c>
    </row>
    <row r="68" spans="1:10" x14ac:dyDescent="0.6">
      <c r="A68" s="6" t="s">
        <v>72</v>
      </c>
      <c r="B68" s="7">
        <v>3.061666666666667</v>
      </c>
      <c r="C68" s="7">
        <v>2.5693333333333337</v>
      </c>
      <c r="D68" s="7">
        <v>2.9223076923076925</v>
      </c>
      <c r="E68" s="7">
        <v>3.0283333333333338</v>
      </c>
      <c r="F68" s="7"/>
      <c r="G68" s="7">
        <f t="shared" si="0"/>
        <v>2.8954102564102566</v>
      </c>
      <c r="H68" s="5">
        <v>2.2549999999999999</v>
      </c>
      <c r="I68" s="5">
        <v>2.25</v>
      </c>
      <c r="J68" s="8">
        <f t="shared" si="1"/>
        <v>0.81166666666666698</v>
      </c>
    </row>
    <row r="69" spans="1:10" x14ac:dyDescent="0.6">
      <c r="A69" s="6" t="s">
        <v>73</v>
      </c>
      <c r="B69" s="7">
        <v>3.0625000000000004</v>
      </c>
      <c r="C69" s="7">
        <v>2.4846666666666666</v>
      </c>
      <c r="D69" s="7">
        <v>2.9525000000000006</v>
      </c>
      <c r="E69" s="7">
        <v>3.0399999999999996</v>
      </c>
      <c r="F69" s="7"/>
      <c r="G69" s="7">
        <f t="shared" ref="G69:G132" si="2">AVERAGE(B69:E69)</f>
        <v>2.8849166666666668</v>
      </c>
      <c r="H69" s="5">
        <v>2.1469999999999998</v>
      </c>
      <c r="I69" s="5">
        <v>2</v>
      </c>
      <c r="J69" s="8">
        <f t="shared" si="1"/>
        <v>1.0625000000000004</v>
      </c>
    </row>
    <row r="70" spans="1:10" x14ac:dyDescent="0.6">
      <c r="A70" s="6" t="s">
        <v>74</v>
      </c>
      <c r="B70" s="7">
        <v>3.0625000000000004</v>
      </c>
      <c r="C70" s="7">
        <v>2.4846666666666666</v>
      </c>
      <c r="D70" s="7">
        <v>2.9525000000000006</v>
      </c>
      <c r="E70" s="7">
        <v>3.0399999999999996</v>
      </c>
      <c r="F70" s="7"/>
      <c r="G70" s="7">
        <f t="shared" si="2"/>
        <v>2.8849166666666668</v>
      </c>
      <c r="H70" s="5">
        <v>2.129</v>
      </c>
      <c r="I70" s="5">
        <v>2</v>
      </c>
      <c r="J70" s="8">
        <f t="shared" ref="J70:J133" si="3">B70-I70</f>
        <v>1.0625000000000004</v>
      </c>
    </row>
    <row r="71" spans="1:10" x14ac:dyDescent="0.6">
      <c r="A71" s="6" t="s">
        <v>75</v>
      </c>
      <c r="B71" s="7">
        <v>3.0649999999999999</v>
      </c>
      <c r="C71" s="7">
        <v>2.4066666666666667</v>
      </c>
      <c r="D71" s="7">
        <v>2.8383333333333334</v>
      </c>
      <c r="E71" s="7">
        <v>3.0500000000000003</v>
      </c>
      <c r="F71" s="7"/>
      <c r="G71" s="7">
        <f t="shared" si="2"/>
        <v>2.8400000000000003</v>
      </c>
      <c r="H71" s="5">
        <v>2.0649999999999999</v>
      </c>
      <c r="I71" s="5">
        <v>2</v>
      </c>
      <c r="J71" s="8">
        <f t="shared" si="3"/>
        <v>1.0649999999999999</v>
      </c>
    </row>
    <row r="72" spans="1:10" x14ac:dyDescent="0.6">
      <c r="A72" s="6" t="s">
        <v>76</v>
      </c>
      <c r="B72" s="7">
        <v>3.01</v>
      </c>
      <c r="C72" s="7">
        <v>2.39</v>
      </c>
      <c r="D72" s="7">
        <v>2.82</v>
      </c>
      <c r="E72" s="7">
        <v>2.95</v>
      </c>
      <c r="F72" s="7"/>
      <c r="G72" s="7">
        <f t="shared" si="2"/>
        <v>2.7925000000000004</v>
      </c>
      <c r="H72" s="5">
        <v>2.012</v>
      </c>
      <c r="I72" s="5">
        <v>2</v>
      </c>
      <c r="J72" s="8">
        <f t="shared" si="3"/>
        <v>1.0099999999999998</v>
      </c>
    </row>
    <row r="73" spans="1:10" x14ac:dyDescent="0.6">
      <c r="A73" s="9">
        <v>42005</v>
      </c>
      <c r="B73" s="7">
        <v>2.96</v>
      </c>
      <c r="C73" s="7">
        <v>2.39</v>
      </c>
      <c r="D73" s="7">
        <v>2.74</v>
      </c>
      <c r="E73" s="7">
        <v>2.85</v>
      </c>
      <c r="F73" s="7"/>
      <c r="G73" s="7">
        <f t="shared" si="2"/>
        <v>2.7349999999999999</v>
      </c>
      <c r="H73" s="5">
        <v>2.0739999999999998</v>
      </c>
      <c r="I73" s="5">
        <v>2</v>
      </c>
      <c r="J73" s="8">
        <f t="shared" si="3"/>
        <v>0.96</v>
      </c>
    </row>
    <row r="74" spans="1:10" x14ac:dyDescent="0.6">
      <c r="A74" s="9">
        <v>42036</v>
      </c>
      <c r="B74" s="7">
        <v>2.86</v>
      </c>
      <c r="C74" s="7">
        <v>2.23</v>
      </c>
      <c r="D74" s="7">
        <v>2.65</v>
      </c>
      <c r="E74" s="7">
        <v>2.76</v>
      </c>
      <c r="F74" s="7"/>
      <c r="G74" s="7">
        <f t="shared" si="2"/>
        <v>2.625</v>
      </c>
      <c r="H74" s="5">
        <v>1.9670000000000001</v>
      </c>
      <c r="I74" s="5">
        <v>2</v>
      </c>
      <c r="J74" s="8">
        <f t="shared" si="3"/>
        <v>0.85999999999999988</v>
      </c>
    </row>
    <row r="75" spans="1:10" x14ac:dyDescent="0.6">
      <c r="A75" s="9">
        <v>42064</v>
      </c>
      <c r="B75" s="7">
        <v>2.82</v>
      </c>
      <c r="C75" s="7">
        <v>2.23</v>
      </c>
      <c r="D75" s="7">
        <v>2.61</v>
      </c>
      <c r="E75" s="7">
        <v>2.72</v>
      </c>
      <c r="F75" s="7"/>
      <c r="G75" s="7">
        <f t="shared" si="2"/>
        <v>2.5950000000000002</v>
      </c>
      <c r="H75" s="5">
        <v>1.9790000000000001</v>
      </c>
      <c r="I75" s="5">
        <v>1.75</v>
      </c>
      <c r="J75" s="8">
        <f t="shared" si="3"/>
        <v>1.0699999999999998</v>
      </c>
    </row>
    <row r="76" spans="1:10" x14ac:dyDescent="0.6">
      <c r="A76" s="9">
        <v>42095</v>
      </c>
      <c r="B76" s="7">
        <v>2.6</v>
      </c>
      <c r="C76" s="7">
        <v>2.0099999999999998</v>
      </c>
      <c r="D76" s="7">
        <v>2.54</v>
      </c>
      <c r="E76" s="7">
        <v>2.61</v>
      </c>
      <c r="F76" s="7"/>
      <c r="G76" s="7">
        <f t="shared" si="2"/>
        <v>2.44</v>
      </c>
      <c r="H76" s="5">
        <v>1.76</v>
      </c>
      <c r="I76" s="5">
        <v>1.75</v>
      </c>
      <c r="J76" s="8">
        <f t="shared" si="3"/>
        <v>0.85000000000000009</v>
      </c>
    </row>
    <row r="77" spans="1:10" x14ac:dyDescent="0.6">
      <c r="A77" s="9">
        <v>42125</v>
      </c>
      <c r="B77" s="7">
        <v>2.5499999999999998</v>
      </c>
      <c r="C77" s="7">
        <v>1.92</v>
      </c>
      <c r="D77" s="7">
        <v>2.4500000000000002</v>
      </c>
      <c r="E77" s="7">
        <v>2.5099999999999998</v>
      </c>
      <c r="F77" s="7"/>
      <c r="G77" s="7">
        <f t="shared" si="2"/>
        <v>2.3574999999999999</v>
      </c>
      <c r="H77" s="5">
        <v>1.762</v>
      </c>
      <c r="I77" s="5">
        <v>1.75</v>
      </c>
      <c r="J77" s="8">
        <f t="shared" si="3"/>
        <v>0.79999999999999982</v>
      </c>
    </row>
    <row r="78" spans="1:10" x14ac:dyDescent="0.6">
      <c r="A78" s="9">
        <v>42156</v>
      </c>
      <c r="B78" s="7">
        <v>2.58</v>
      </c>
      <c r="C78" s="7">
        <v>1.95</v>
      </c>
      <c r="D78" s="7">
        <v>2.4700000000000002</v>
      </c>
      <c r="E78" s="7">
        <v>2.5</v>
      </c>
      <c r="F78" s="7"/>
      <c r="G78" s="7">
        <f t="shared" si="2"/>
        <v>2.375</v>
      </c>
      <c r="H78" s="5">
        <v>1.66</v>
      </c>
      <c r="I78" s="5">
        <v>1.5</v>
      </c>
      <c r="J78" s="8">
        <f t="shared" si="3"/>
        <v>1.08</v>
      </c>
    </row>
    <row r="79" spans="1:10" x14ac:dyDescent="0.6">
      <c r="A79" s="9">
        <v>42186</v>
      </c>
      <c r="B79" s="7">
        <v>2.3199999999999998</v>
      </c>
      <c r="C79" s="7">
        <v>1.81</v>
      </c>
      <c r="D79" s="7">
        <v>2.4700000000000002</v>
      </c>
      <c r="E79" s="7">
        <v>2.4700000000000002</v>
      </c>
      <c r="F79" s="7"/>
      <c r="G79" s="7">
        <f t="shared" si="2"/>
        <v>2.2675000000000001</v>
      </c>
      <c r="H79" s="5">
        <v>1.613</v>
      </c>
      <c r="I79" s="5">
        <v>1.5</v>
      </c>
      <c r="J79" s="8">
        <f t="shared" si="3"/>
        <v>0.81999999999999984</v>
      </c>
    </row>
    <row r="80" spans="1:10" x14ac:dyDescent="0.6">
      <c r="A80" s="9">
        <v>42217</v>
      </c>
      <c r="B80" s="7">
        <v>2.25</v>
      </c>
      <c r="C80" s="7">
        <v>1.75</v>
      </c>
      <c r="D80" s="7">
        <v>2.4300000000000002</v>
      </c>
      <c r="E80" s="7">
        <v>2.44</v>
      </c>
      <c r="F80" s="7"/>
      <c r="G80" s="7">
        <f t="shared" si="2"/>
        <v>2.2174999999999998</v>
      </c>
      <c r="H80" s="5">
        <v>1.601</v>
      </c>
      <c r="I80" s="5">
        <v>1.5</v>
      </c>
      <c r="J80" s="8">
        <f t="shared" si="3"/>
        <v>0.75</v>
      </c>
    </row>
    <row r="81" spans="1:10" x14ac:dyDescent="0.6">
      <c r="A81" s="9">
        <v>42248</v>
      </c>
      <c r="B81" s="7">
        <v>2.23</v>
      </c>
      <c r="C81" s="7">
        <v>1.75</v>
      </c>
      <c r="D81" s="7">
        <v>2.4</v>
      </c>
      <c r="E81" s="7">
        <v>2.38</v>
      </c>
      <c r="F81" s="7"/>
      <c r="G81" s="7">
        <f t="shared" si="2"/>
        <v>2.19</v>
      </c>
      <c r="H81" s="5">
        <v>1.589</v>
      </c>
      <c r="I81" s="5">
        <v>1.5</v>
      </c>
      <c r="J81" s="8">
        <f t="shared" si="3"/>
        <v>0.73</v>
      </c>
    </row>
    <row r="82" spans="1:10" x14ac:dyDescent="0.6">
      <c r="A82" s="9">
        <v>42278</v>
      </c>
      <c r="B82" s="7">
        <v>2.2000000000000002</v>
      </c>
      <c r="C82" s="7">
        <v>1.73</v>
      </c>
      <c r="D82" s="7">
        <v>2.37</v>
      </c>
      <c r="E82" s="7">
        <v>2.36</v>
      </c>
      <c r="F82" s="7"/>
      <c r="G82" s="7">
        <f t="shared" si="2"/>
        <v>2.165</v>
      </c>
      <c r="H82" s="5">
        <v>1.589</v>
      </c>
      <c r="I82" s="5">
        <v>1.5</v>
      </c>
      <c r="J82" s="8">
        <f t="shared" si="3"/>
        <v>0.70000000000000018</v>
      </c>
    </row>
    <row r="83" spans="1:10" x14ac:dyDescent="0.6">
      <c r="A83" s="9">
        <v>42309</v>
      </c>
      <c r="B83" s="7">
        <v>2.25</v>
      </c>
      <c r="C83" s="7">
        <v>1.74</v>
      </c>
      <c r="D83" s="7">
        <v>2.34</v>
      </c>
      <c r="E83" s="7">
        <v>2.33</v>
      </c>
      <c r="F83" s="7"/>
      <c r="G83" s="7">
        <f t="shared" si="2"/>
        <v>2.165</v>
      </c>
      <c r="H83" s="5">
        <v>1.5760000000000001</v>
      </c>
      <c r="I83" s="5">
        <v>1.5</v>
      </c>
      <c r="J83" s="8">
        <f t="shared" si="3"/>
        <v>0.75</v>
      </c>
    </row>
    <row r="84" spans="1:10" x14ac:dyDescent="0.6">
      <c r="A84" s="9">
        <v>42339</v>
      </c>
      <c r="B84" s="7">
        <v>2.4</v>
      </c>
      <c r="C84" s="7">
        <v>1.87</v>
      </c>
      <c r="D84" s="7">
        <v>2.4</v>
      </c>
      <c r="E84" s="7">
        <v>2.4</v>
      </c>
      <c r="F84" s="7"/>
      <c r="G84" s="7">
        <f t="shared" si="2"/>
        <v>2.2675000000000001</v>
      </c>
      <c r="H84" s="5">
        <v>1.6539999999999999</v>
      </c>
      <c r="I84" s="5">
        <v>1.5</v>
      </c>
      <c r="J84" s="8">
        <f t="shared" si="3"/>
        <v>0.89999999999999991</v>
      </c>
    </row>
    <row r="85" spans="1:10" x14ac:dyDescent="0.6">
      <c r="A85" s="9">
        <v>42370</v>
      </c>
      <c r="B85" s="7">
        <v>2.31</v>
      </c>
      <c r="C85" s="7">
        <v>1.85</v>
      </c>
      <c r="D85" s="7">
        <v>2.33</v>
      </c>
      <c r="E85" s="7">
        <v>2.3199999999999998</v>
      </c>
      <c r="F85" s="7"/>
      <c r="G85" s="7">
        <f t="shared" si="2"/>
        <v>2.2025000000000001</v>
      </c>
      <c r="H85" s="5">
        <v>1.605</v>
      </c>
      <c r="I85" s="5">
        <v>1.5</v>
      </c>
      <c r="J85" s="8">
        <f t="shared" si="3"/>
        <v>0.81</v>
      </c>
    </row>
    <row r="86" spans="1:10" x14ac:dyDescent="0.6">
      <c r="A86" s="9">
        <v>42401</v>
      </c>
      <c r="B86" s="7">
        <v>2.2400000000000002</v>
      </c>
      <c r="C86" s="7">
        <v>1.77</v>
      </c>
      <c r="D86" s="7">
        <v>2.2799999999999998</v>
      </c>
      <c r="E86" s="7">
        <v>2.2799999999999998</v>
      </c>
      <c r="F86" s="7"/>
      <c r="G86" s="7">
        <f t="shared" si="2"/>
        <v>2.1424999999999996</v>
      </c>
      <c r="H86" s="5">
        <v>1.518</v>
      </c>
      <c r="I86" s="5">
        <v>1.5</v>
      </c>
      <c r="J86" s="8">
        <f t="shared" si="3"/>
        <v>0.74000000000000021</v>
      </c>
    </row>
    <row r="87" spans="1:10" x14ac:dyDescent="0.6">
      <c r="A87" s="9">
        <v>42430</v>
      </c>
      <c r="B87" s="7">
        <v>2.14</v>
      </c>
      <c r="C87" s="7">
        <v>1.66</v>
      </c>
      <c r="D87" s="7">
        <v>2.2400000000000002</v>
      </c>
      <c r="E87" s="7">
        <v>2.2400000000000002</v>
      </c>
      <c r="F87" s="7"/>
      <c r="G87" s="7">
        <f t="shared" si="2"/>
        <v>2.0700000000000003</v>
      </c>
      <c r="H87" s="5">
        <v>1.4690000000000001</v>
      </c>
      <c r="I87" s="5">
        <v>1.5</v>
      </c>
      <c r="J87" s="8">
        <f t="shared" si="3"/>
        <v>0.64000000000000012</v>
      </c>
    </row>
    <row r="88" spans="1:10" x14ac:dyDescent="0.6">
      <c r="A88" s="9">
        <v>42461</v>
      </c>
      <c r="B88" s="7">
        <v>2.15</v>
      </c>
      <c r="C88" s="7">
        <v>1.69</v>
      </c>
      <c r="D88" s="7">
        <v>2.25</v>
      </c>
      <c r="E88" s="7">
        <v>2.23</v>
      </c>
      <c r="F88" s="7"/>
      <c r="G88" s="7">
        <f t="shared" si="2"/>
        <v>2.08</v>
      </c>
      <c r="H88" s="5">
        <v>1.4830000000000001</v>
      </c>
      <c r="I88" s="5">
        <v>1.5</v>
      </c>
      <c r="J88" s="8">
        <f t="shared" si="3"/>
        <v>0.64999999999999991</v>
      </c>
    </row>
    <row r="89" spans="1:10" x14ac:dyDescent="0.6">
      <c r="A89" s="9">
        <v>42491</v>
      </c>
      <c r="B89" s="7">
        <v>2.17</v>
      </c>
      <c r="C89" s="7">
        <v>1.66</v>
      </c>
      <c r="D89" s="7">
        <v>2.2200000000000002</v>
      </c>
      <c r="E89" s="7">
        <v>2.23</v>
      </c>
      <c r="F89" s="7"/>
      <c r="G89" s="7">
        <f t="shared" si="2"/>
        <v>2.0700000000000003</v>
      </c>
      <c r="H89" s="5">
        <v>1.4910000000000001</v>
      </c>
      <c r="I89" s="5">
        <v>1.5</v>
      </c>
      <c r="J89" s="8">
        <f t="shared" si="3"/>
        <v>0.66999999999999993</v>
      </c>
    </row>
    <row r="90" spans="1:10" x14ac:dyDescent="0.6">
      <c r="A90" s="9">
        <v>42522</v>
      </c>
      <c r="B90" s="7">
        <v>2.1800000000000002</v>
      </c>
      <c r="C90" s="7">
        <v>1.66</v>
      </c>
      <c r="D90" s="7">
        <v>2.2400000000000002</v>
      </c>
      <c r="E90" s="7">
        <v>2.21</v>
      </c>
      <c r="F90" s="7"/>
      <c r="G90" s="7">
        <f t="shared" si="2"/>
        <v>2.0724999999999998</v>
      </c>
      <c r="H90" s="5">
        <v>1.4630000000000001</v>
      </c>
      <c r="I90" s="5">
        <v>1.25</v>
      </c>
      <c r="J90" s="8">
        <f t="shared" si="3"/>
        <v>0.93000000000000016</v>
      </c>
    </row>
    <row r="91" spans="1:10" x14ac:dyDescent="0.6">
      <c r="A91" s="9">
        <v>42552</v>
      </c>
      <c r="B91" s="7">
        <v>1.96</v>
      </c>
      <c r="C91" s="7">
        <v>1.46</v>
      </c>
      <c r="D91" s="7">
        <v>2.12</v>
      </c>
      <c r="E91" s="7">
        <v>2.15</v>
      </c>
      <c r="F91" s="7"/>
      <c r="G91" s="7">
        <f t="shared" si="2"/>
        <v>1.9224999999999999</v>
      </c>
      <c r="H91" s="5">
        <v>1.272</v>
      </c>
      <c r="I91" s="5">
        <v>1.25</v>
      </c>
      <c r="J91" s="8">
        <f t="shared" si="3"/>
        <v>0.71</v>
      </c>
    </row>
    <row r="92" spans="1:10" x14ac:dyDescent="0.6">
      <c r="A92" s="9">
        <v>42583</v>
      </c>
      <c r="B92" s="7">
        <v>1.96</v>
      </c>
      <c r="C92" s="7">
        <v>1.4</v>
      </c>
      <c r="D92" s="7">
        <v>2.0499999999999998</v>
      </c>
      <c r="E92" s="7">
        <v>2.08</v>
      </c>
      <c r="F92" s="7"/>
      <c r="G92" s="7">
        <f t="shared" si="2"/>
        <v>1.8725000000000001</v>
      </c>
      <c r="H92" s="5">
        <v>1.2490000000000001</v>
      </c>
      <c r="I92" s="5">
        <v>1.25</v>
      </c>
      <c r="J92" s="8">
        <f t="shared" si="3"/>
        <v>0.71</v>
      </c>
    </row>
    <row r="93" spans="1:10" x14ac:dyDescent="0.6">
      <c r="A93" s="9">
        <v>42614</v>
      </c>
      <c r="B93" s="7">
        <v>1.91</v>
      </c>
      <c r="C93" s="7">
        <v>1.39</v>
      </c>
      <c r="D93" s="7">
        <v>2.02</v>
      </c>
      <c r="E93" s="7">
        <v>2.0099999999999998</v>
      </c>
      <c r="F93" s="7"/>
      <c r="G93" s="7">
        <f t="shared" si="2"/>
        <v>1.8325</v>
      </c>
      <c r="H93" s="5">
        <v>1.3280000000000001</v>
      </c>
      <c r="I93" s="5">
        <v>1.25</v>
      </c>
      <c r="J93" s="8">
        <f t="shared" si="3"/>
        <v>0.65999999999999992</v>
      </c>
    </row>
    <row r="94" spans="1:10" x14ac:dyDescent="0.6">
      <c r="A94" s="9">
        <v>42644</v>
      </c>
      <c r="B94" s="7">
        <v>1.92</v>
      </c>
      <c r="C94" s="7">
        <v>1.45</v>
      </c>
      <c r="D94" s="7">
        <v>2.0099999999999998</v>
      </c>
      <c r="E94" s="7">
        <v>2.0099999999999998</v>
      </c>
      <c r="F94" s="7"/>
      <c r="G94" s="7">
        <f t="shared" si="2"/>
        <v>1.8474999999999999</v>
      </c>
      <c r="H94" s="5">
        <v>1.3149999999999999</v>
      </c>
      <c r="I94" s="5">
        <v>1.25</v>
      </c>
      <c r="J94" s="8">
        <f t="shared" si="3"/>
        <v>0.66999999999999993</v>
      </c>
    </row>
    <row r="95" spans="1:10" x14ac:dyDescent="0.6">
      <c r="A95" s="9">
        <v>42675</v>
      </c>
      <c r="B95" s="7">
        <v>1.93</v>
      </c>
      <c r="C95" s="7">
        <v>1.53</v>
      </c>
      <c r="D95" s="7">
        <v>2.0099999999999998</v>
      </c>
      <c r="E95" s="7">
        <v>2.02</v>
      </c>
      <c r="F95" s="7"/>
      <c r="G95" s="7">
        <f t="shared" si="2"/>
        <v>1.8725000000000001</v>
      </c>
      <c r="H95" s="5">
        <v>1.4279999999999999</v>
      </c>
      <c r="I95" s="5">
        <v>1.25</v>
      </c>
      <c r="J95" s="8">
        <f t="shared" si="3"/>
        <v>0.67999999999999994</v>
      </c>
    </row>
    <row r="96" spans="1:10" x14ac:dyDescent="0.6">
      <c r="A96" s="10">
        <v>42705</v>
      </c>
      <c r="B96" s="11">
        <v>2.0099999999999998</v>
      </c>
      <c r="C96" s="11">
        <v>1.66</v>
      </c>
      <c r="D96" s="11">
        <v>2.11</v>
      </c>
      <c r="E96" s="11">
        <v>2.12</v>
      </c>
      <c r="F96" s="11"/>
      <c r="G96" s="11">
        <f t="shared" si="2"/>
        <v>1.9749999999999999</v>
      </c>
      <c r="H96" s="12">
        <v>1.5960000000000001</v>
      </c>
      <c r="I96" s="5">
        <v>1.25</v>
      </c>
      <c r="J96" s="8">
        <f t="shared" si="3"/>
        <v>0.75999999999999979</v>
      </c>
    </row>
    <row r="97" spans="1:10" x14ac:dyDescent="0.6">
      <c r="A97" s="9">
        <v>42736</v>
      </c>
      <c r="B97" s="7">
        <v>2.0699999999999998</v>
      </c>
      <c r="C97" s="7">
        <v>1.59</v>
      </c>
      <c r="D97" s="7">
        <v>2.04</v>
      </c>
      <c r="E97" s="7">
        <v>2.0699999999999998</v>
      </c>
      <c r="F97" s="7"/>
      <c r="G97" s="7">
        <f t="shared" si="2"/>
        <v>1.9424999999999999</v>
      </c>
      <c r="H97" s="5">
        <v>1.5580000000000001</v>
      </c>
      <c r="I97" s="5">
        <v>1.25</v>
      </c>
      <c r="J97" s="8">
        <f t="shared" si="3"/>
        <v>0.81999999999999984</v>
      </c>
    </row>
    <row r="98" spans="1:10" x14ac:dyDescent="0.6">
      <c r="A98" s="9">
        <v>42767</v>
      </c>
      <c r="B98" s="7">
        <v>2.0299999999999998</v>
      </c>
      <c r="C98" s="7">
        <v>1.48</v>
      </c>
      <c r="D98" s="7">
        <v>2.0099999999999998</v>
      </c>
      <c r="E98" s="7">
        <v>2.0299999999999998</v>
      </c>
      <c r="F98" s="7"/>
      <c r="G98" s="7">
        <f t="shared" si="2"/>
        <v>1.8874999999999997</v>
      </c>
      <c r="H98" s="5">
        <v>1.492</v>
      </c>
      <c r="I98" s="5">
        <v>1.25</v>
      </c>
      <c r="J98" s="8">
        <f t="shared" si="3"/>
        <v>0.7799999999999998</v>
      </c>
    </row>
    <row r="99" spans="1:10" x14ac:dyDescent="0.6">
      <c r="A99" s="9">
        <v>42795</v>
      </c>
      <c r="B99" s="7">
        <v>1.95</v>
      </c>
      <c r="C99" s="7">
        <v>1.45</v>
      </c>
      <c r="D99" s="7">
        <v>2.0099999999999998</v>
      </c>
      <c r="E99" s="7">
        <v>2.0299999999999998</v>
      </c>
      <c r="F99" s="7"/>
      <c r="G99" s="7">
        <f t="shared" si="2"/>
        <v>1.8599999999999999</v>
      </c>
      <c r="H99" s="5">
        <v>1.48</v>
      </c>
      <c r="I99" s="5">
        <v>1.25</v>
      </c>
      <c r="J99" s="8">
        <f t="shared" si="3"/>
        <v>0.7</v>
      </c>
    </row>
    <row r="100" spans="1:10" x14ac:dyDescent="0.6">
      <c r="A100" s="9">
        <v>42826</v>
      </c>
      <c r="B100" s="7">
        <v>1.98</v>
      </c>
      <c r="C100" s="7">
        <v>1.47</v>
      </c>
      <c r="D100" s="7">
        <v>1.99</v>
      </c>
      <c r="E100" s="7">
        <v>2.04</v>
      </c>
      <c r="F100" s="7"/>
      <c r="G100" s="7">
        <f t="shared" si="2"/>
        <v>1.87</v>
      </c>
      <c r="H100" s="5">
        <v>1.462</v>
      </c>
      <c r="I100" s="5">
        <v>1.25</v>
      </c>
      <c r="J100" s="8">
        <f t="shared" si="3"/>
        <v>0.73</v>
      </c>
    </row>
    <row r="101" spans="1:10" x14ac:dyDescent="0.6">
      <c r="A101" s="9">
        <v>42856</v>
      </c>
      <c r="B101" s="7">
        <v>1.97</v>
      </c>
      <c r="C101" s="7">
        <v>1.44</v>
      </c>
      <c r="D101" s="7">
        <v>1.96</v>
      </c>
      <c r="E101" s="7">
        <v>2.0499999999999998</v>
      </c>
      <c r="F101" s="7"/>
      <c r="G101" s="7">
        <f t="shared" si="2"/>
        <v>1.855</v>
      </c>
      <c r="H101" s="5">
        <v>1.4690000000000001</v>
      </c>
      <c r="I101" s="5">
        <v>1.25</v>
      </c>
      <c r="J101" s="8">
        <f t="shared" si="3"/>
        <v>0.72</v>
      </c>
    </row>
    <row r="102" spans="1:10" x14ac:dyDescent="0.6">
      <c r="A102" s="9">
        <v>42887</v>
      </c>
      <c r="B102" s="7">
        <v>1.96</v>
      </c>
      <c r="C102" s="7">
        <v>1.41</v>
      </c>
      <c r="D102" s="7">
        <v>1.98</v>
      </c>
      <c r="E102" s="7">
        <v>2.0499999999999998</v>
      </c>
      <c r="F102" s="7"/>
      <c r="G102" s="7">
        <f t="shared" si="2"/>
        <v>1.8499999999999999</v>
      </c>
      <c r="H102" s="5">
        <v>1.46</v>
      </c>
      <c r="I102" s="5">
        <v>1.25</v>
      </c>
      <c r="J102" s="8">
        <f t="shared" si="3"/>
        <v>0.71</v>
      </c>
    </row>
    <row r="103" spans="1:10" x14ac:dyDescent="0.6">
      <c r="A103" s="9">
        <v>42917</v>
      </c>
      <c r="B103" s="7">
        <v>1.99</v>
      </c>
      <c r="C103" s="7">
        <v>1.41</v>
      </c>
      <c r="D103" s="7">
        <v>1.94</v>
      </c>
      <c r="E103" s="7">
        <v>2.04</v>
      </c>
      <c r="F103" s="7"/>
      <c r="G103" s="7">
        <f t="shared" si="2"/>
        <v>1.845</v>
      </c>
      <c r="H103" s="5">
        <v>1.474</v>
      </c>
      <c r="I103" s="5">
        <v>1.25</v>
      </c>
      <c r="J103" s="8">
        <f t="shared" si="3"/>
        <v>0.74</v>
      </c>
    </row>
    <row r="104" spans="1:10" x14ac:dyDescent="0.6">
      <c r="A104" s="9">
        <v>42948</v>
      </c>
      <c r="B104" s="7">
        <v>1.96</v>
      </c>
      <c r="C104" s="7">
        <v>1.41</v>
      </c>
      <c r="D104" s="7">
        <v>1.94</v>
      </c>
      <c r="E104" s="7">
        <v>2.06</v>
      </c>
      <c r="F104" s="7"/>
      <c r="G104" s="7">
        <f t="shared" si="2"/>
        <v>1.8425000000000002</v>
      </c>
      <c r="H104" s="5">
        <v>1.4430000000000001</v>
      </c>
      <c r="I104" s="5">
        <v>1.25</v>
      </c>
      <c r="J104" s="8">
        <f t="shared" si="3"/>
        <v>0.71</v>
      </c>
    </row>
    <row r="105" spans="1:10" x14ac:dyDescent="0.6">
      <c r="A105" s="9">
        <v>42979</v>
      </c>
      <c r="B105" s="7">
        <v>1.97</v>
      </c>
      <c r="C105" s="7">
        <v>1.45</v>
      </c>
      <c r="D105" s="7">
        <v>1.94</v>
      </c>
      <c r="E105" s="7">
        <v>2.06</v>
      </c>
      <c r="F105" s="7"/>
      <c r="G105" s="7">
        <f t="shared" si="2"/>
        <v>1.855</v>
      </c>
      <c r="H105" s="5">
        <v>1.4650000000000001</v>
      </c>
      <c r="I105" s="5">
        <v>1.25</v>
      </c>
      <c r="J105" s="8">
        <f t="shared" si="3"/>
        <v>0.72</v>
      </c>
    </row>
    <row r="106" spans="1:10" x14ac:dyDescent="0.6">
      <c r="A106" s="9">
        <v>43009</v>
      </c>
      <c r="B106" s="7">
        <v>1.96</v>
      </c>
      <c r="C106" s="7">
        <v>1.45</v>
      </c>
      <c r="D106" s="7">
        <v>1.95</v>
      </c>
      <c r="E106" s="7">
        <v>2.08</v>
      </c>
      <c r="F106" s="7"/>
      <c r="G106" s="7">
        <f t="shared" si="2"/>
        <v>1.86</v>
      </c>
      <c r="H106" s="5">
        <v>1.5289999999999999</v>
      </c>
      <c r="I106" s="5">
        <v>1.25</v>
      </c>
      <c r="J106" s="8">
        <f t="shared" si="3"/>
        <v>0.71</v>
      </c>
    </row>
    <row r="107" spans="1:10" x14ac:dyDescent="0.6">
      <c r="A107" s="9">
        <v>43040</v>
      </c>
      <c r="B107" s="7">
        <v>1.98</v>
      </c>
      <c r="C107" s="7">
        <v>1.63</v>
      </c>
      <c r="D107" s="7">
        <v>2.0099999999999998</v>
      </c>
      <c r="E107" s="7">
        <v>2.09</v>
      </c>
      <c r="F107" s="7"/>
      <c r="G107" s="7">
        <f t="shared" si="2"/>
        <v>1.9274999999999998</v>
      </c>
      <c r="H107" s="5">
        <v>1.7649999999999999</v>
      </c>
      <c r="I107" s="5">
        <v>1.25</v>
      </c>
      <c r="J107" s="8">
        <f t="shared" si="3"/>
        <v>0.73</v>
      </c>
    </row>
    <row r="108" spans="1:10" x14ac:dyDescent="0.6">
      <c r="A108" s="10">
        <v>43070</v>
      </c>
      <c r="B108" s="11">
        <v>2.06</v>
      </c>
      <c r="C108" s="11">
        <v>1.74</v>
      </c>
      <c r="D108" s="11">
        <v>2.11</v>
      </c>
      <c r="E108" s="11">
        <v>2.1800000000000002</v>
      </c>
      <c r="F108" s="11"/>
      <c r="G108" s="11">
        <f t="shared" si="2"/>
        <v>2.0225</v>
      </c>
      <c r="H108" s="12">
        <v>1.8069999999999999</v>
      </c>
      <c r="I108" s="5">
        <v>1.5</v>
      </c>
      <c r="J108" s="8">
        <f t="shared" si="3"/>
        <v>0.56000000000000005</v>
      </c>
    </row>
    <row r="109" spans="1:10" x14ac:dyDescent="0.6">
      <c r="A109" s="9">
        <v>43101</v>
      </c>
      <c r="B109" s="7">
        <v>2.0699999999999998</v>
      </c>
      <c r="C109" s="7">
        <v>1.73</v>
      </c>
      <c r="D109" s="7">
        <v>2.0499999999999998</v>
      </c>
      <c r="E109" s="7">
        <v>2.14</v>
      </c>
      <c r="F109" s="7"/>
      <c r="G109" s="7">
        <f t="shared" si="2"/>
        <v>1.9975000000000001</v>
      </c>
      <c r="H109" s="5">
        <v>1.851</v>
      </c>
      <c r="I109" s="5">
        <v>1.5</v>
      </c>
      <c r="J109" s="8">
        <f t="shared" si="3"/>
        <v>0.56999999999999984</v>
      </c>
    </row>
    <row r="110" spans="1:10" x14ac:dyDescent="0.6">
      <c r="A110" s="9">
        <v>43132</v>
      </c>
      <c r="B110" s="7">
        <v>2.04</v>
      </c>
      <c r="C110" s="7">
        <v>1.69</v>
      </c>
      <c r="D110" s="7">
        <v>2.06</v>
      </c>
      <c r="E110" s="7">
        <v>2.15</v>
      </c>
      <c r="F110" s="7"/>
      <c r="G110" s="7">
        <f t="shared" si="2"/>
        <v>1.9849999999999999</v>
      </c>
      <c r="H110" s="5">
        <v>1.8520000000000001</v>
      </c>
      <c r="I110" s="5">
        <v>1.5</v>
      </c>
      <c r="J110" s="8">
        <f t="shared" si="3"/>
        <v>0.54</v>
      </c>
    </row>
    <row r="111" spans="1:10" x14ac:dyDescent="0.6">
      <c r="A111" s="9">
        <v>43160</v>
      </c>
      <c r="B111" s="13">
        <f>'[1]2018.3.1~31'!B22</f>
        <v>0</v>
      </c>
      <c r="C111" s="13">
        <f>'[1]2018.3.1~31'!B40</f>
        <v>0</v>
      </c>
      <c r="D111" s="13">
        <f>'[1]2018.3.1~31'!B55</f>
        <v>0</v>
      </c>
      <c r="E111" s="13">
        <f>'[1]2018.3.1~31'!B64</f>
        <v>0</v>
      </c>
      <c r="F111" s="13"/>
      <c r="G111" s="7">
        <f t="shared" si="2"/>
        <v>0</v>
      </c>
      <c r="H111" s="5">
        <v>1.875</v>
      </c>
      <c r="I111" s="5">
        <v>1.5</v>
      </c>
      <c r="J111" s="8">
        <f t="shared" si="3"/>
        <v>-1.5</v>
      </c>
    </row>
    <row r="112" spans="1:10" x14ac:dyDescent="0.6">
      <c r="A112" s="9">
        <v>43191</v>
      </c>
      <c r="B112" s="13">
        <f>'[1]2018.4.1~30'!B22</f>
        <v>0</v>
      </c>
      <c r="C112" s="13">
        <f>'[1]2018.4.1~30'!B40</f>
        <v>0</v>
      </c>
      <c r="D112" s="13">
        <f>'[1]2018.4.1~30'!B55</f>
        <v>0</v>
      </c>
      <c r="E112" s="13">
        <f>'[1]2018.4.1~30'!B64</f>
        <v>0</v>
      </c>
      <c r="F112" s="13"/>
      <c r="G112" s="7">
        <f t="shared" si="2"/>
        <v>0</v>
      </c>
      <c r="H112" s="5">
        <v>1.873</v>
      </c>
      <c r="I112" s="5">
        <v>1.5</v>
      </c>
      <c r="J112" s="8">
        <f t="shared" si="3"/>
        <v>-1.5</v>
      </c>
    </row>
    <row r="113" spans="1:10" x14ac:dyDescent="0.6">
      <c r="A113" s="9">
        <v>43221</v>
      </c>
      <c r="B113" s="13">
        <f>'[1]2018.05'!B22</f>
        <v>0</v>
      </c>
      <c r="C113" s="13">
        <f>'[1]2018.05'!B40</f>
        <v>0</v>
      </c>
      <c r="D113" s="13">
        <f>'[1]2018.05'!B55</f>
        <v>0</v>
      </c>
      <c r="E113" s="13">
        <f>'[1]2018.05'!B64</f>
        <v>0</v>
      </c>
      <c r="F113" s="13"/>
      <c r="G113" s="7">
        <f t="shared" si="2"/>
        <v>0</v>
      </c>
      <c r="H113" s="5">
        <v>1.887</v>
      </c>
      <c r="I113" s="5">
        <v>1.5</v>
      </c>
      <c r="J113" s="8">
        <f t="shared" si="3"/>
        <v>-1.5</v>
      </c>
    </row>
    <row r="114" spans="1:10" x14ac:dyDescent="0.6">
      <c r="A114" s="9">
        <v>43252</v>
      </c>
      <c r="B114" s="13">
        <f>'[1]2018.06'!B22</f>
        <v>0</v>
      </c>
      <c r="C114" s="13">
        <f>'[1]2018.06'!B40</f>
        <v>0</v>
      </c>
      <c r="D114" s="13">
        <f>'[1]2018.06'!B55</f>
        <v>0</v>
      </c>
      <c r="E114" s="13">
        <f>'[1]2018.06'!B64</f>
        <v>0</v>
      </c>
      <c r="F114" s="13"/>
      <c r="G114" s="7">
        <f t="shared" si="2"/>
        <v>0</v>
      </c>
      <c r="H114" s="5">
        <v>1.851</v>
      </c>
      <c r="I114" s="5">
        <v>1.5</v>
      </c>
      <c r="J114" s="8">
        <f t="shared" si="3"/>
        <v>-1.5</v>
      </c>
    </row>
    <row r="115" spans="1:10" x14ac:dyDescent="0.6">
      <c r="A115" s="9">
        <v>43282</v>
      </c>
      <c r="B115" s="13">
        <f>'[1]2018.07'!B22</f>
        <v>0</v>
      </c>
      <c r="C115" s="13">
        <f>'[1]2018.07'!B39</f>
        <v>0</v>
      </c>
      <c r="D115" s="13">
        <f>'[1]2018.07'!B54</f>
        <v>0</v>
      </c>
      <c r="E115" s="13">
        <f>'[1]2018.07'!B63</f>
        <v>0</v>
      </c>
      <c r="F115" s="13"/>
      <c r="G115" s="7">
        <f t="shared" si="2"/>
        <v>0</v>
      </c>
      <c r="H115" s="5">
        <v>1.8420000000000001</v>
      </c>
      <c r="I115" s="5">
        <v>1.5</v>
      </c>
      <c r="J115" s="8">
        <f t="shared" si="3"/>
        <v>-1.5</v>
      </c>
    </row>
    <row r="116" spans="1:10" x14ac:dyDescent="0.6">
      <c r="A116" s="9">
        <v>43313</v>
      </c>
      <c r="B116" s="13">
        <f>'[1]2018.08'!B23</f>
        <v>0</v>
      </c>
      <c r="C116" s="13">
        <f>'[1]2018.08'!B40</f>
        <v>0</v>
      </c>
      <c r="D116" s="13">
        <f>'[1]2018.08'!B55</f>
        <v>0</v>
      </c>
      <c r="E116" s="13">
        <f>'[1]2018.08'!B64</f>
        <v>0</v>
      </c>
      <c r="F116" s="13"/>
      <c r="G116" s="7">
        <f t="shared" si="2"/>
        <v>0</v>
      </c>
      <c r="H116" s="5">
        <v>1.83</v>
      </c>
      <c r="I116" s="5">
        <v>1.5</v>
      </c>
      <c r="J116" s="8">
        <f t="shared" si="3"/>
        <v>-1.5</v>
      </c>
    </row>
    <row r="117" spans="1:10" x14ac:dyDescent="0.6">
      <c r="A117" s="9">
        <v>43344</v>
      </c>
      <c r="B117" s="13">
        <f>'[1]2018.09'!B23</f>
        <v>0</v>
      </c>
      <c r="C117" s="13">
        <f>'[1]2018.09'!B40</f>
        <v>0</v>
      </c>
      <c r="D117" s="13">
        <f>'[1]2018.09'!B55</f>
        <v>0</v>
      </c>
      <c r="E117" s="13">
        <f>'[1]2018.09'!B64</f>
        <v>0</v>
      </c>
      <c r="F117" s="13"/>
      <c r="G117" s="7">
        <f t="shared" si="2"/>
        <v>0</v>
      </c>
      <c r="H117" s="5">
        <v>1.79</v>
      </c>
      <c r="I117" s="5">
        <v>1.5</v>
      </c>
      <c r="J117" s="8">
        <f t="shared" si="3"/>
        <v>-1.5</v>
      </c>
    </row>
    <row r="118" spans="1:10" x14ac:dyDescent="0.6">
      <c r="A118" s="9">
        <v>43374</v>
      </c>
      <c r="B118" s="13">
        <f>'[1]2018.10'!B23</f>
        <v>0</v>
      </c>
      <c r="C118" s="13">
        <f>'[1]2018.10'!B40</f>
        <v>0</v>
      </c>
      <c r="D118" s="13">
        <f>'[1]2018.10'!B55</f>
        <v>0</v>
      </c>
      <c r="E118" s="13">
        <f>'[1]2018.10'!B64</f>
        <v>0</v>
      </c>
      <c r="F118" s="13"/>
      <c r="G118" s="7">
        <f t="shared" si="2"/>
        <v>0</v>
      </c>
      <c r="H118" s="5">
        <v>1.853</v>
      </c>
      <c r="I118" s="5">
        <v>1.5</v>
      </c>
      <c r="J118" s="8">
        <f t="shared" si="3"/>
        <v>-1.5</v>
      </c>
    </row>
    <row r="119" spans="1:10" x14ac:dyDescent="0.6">
      <c r="A119" s="9">
        <v>43405</v>
      </c>
      <c r="B119" s="13">
        <f>'[1]2018.11'!B23</f>
        <v>0</v>
      </c>
      <c r="C119" s="13">
        <f>'[1]2018.11'!B40</f>
        <v>0</v>
      </c>
      <c r="D119" s="13">
        <f>'[1]2018.11'!B55</f>
        <v>0</v>
      </c>
      <c r="E119" s="13">
        <f>'[1]2018.11'!B64</f>
        <v>0</v>
      </c>
      <c r="F119" s="13"/>
      <c r="G119" s="7">
        <f t="shared" si="2"/>
        <v>0</v>
      </c>
      <c r="H119" s="5">
        <v>1.8440000000000001</v>
      </c>
      <c r="I119" s="5">
        <v>1.5</v>
      </c>
      <c r="J119" s="8">
        <f t="shared" si="3"/>
        <v>-1.5</v>
      </c>
    </row>
    <row r="120" spans="1:10" x14ac:dyDescent="0.6">
      <c r="A120" s="10">
        <v>43435</v>
      </c>
      <c r="B120" s="14">
        <f>'[1]2018.12'!B23</f>
        <v>0</v>
      </c>
      <c r="C120" s="14">
        <f>'[1]2018.12'!B40</f>
        <v>0</v>
      </c>
      <c r="D120" s="14">
        <f>'[1]2018.12'!B55</f>
        <v>0</v>
      </c>
      <c r="E120" s="14">
        <f>'[1]2018.12'!B64</f>
        <v>0</v>
      </c>
      <c r="F120" s="14"/>
      <c r="G120" s="11">
        <f t="shared" si="2"/>
        <v>0</v>
      </c>
      <c r="H120" s="12">
        <v>1.776</v>
      </c>
      <c r="I120" s="5">
        <v>1.75</v>
      </c>
      <c r="J120" s="8">
        <f t="shared" si="3"/>
        <v>-1.75</v>
      </c>
    </row>
    <row r="121" spans="1:10" x14ac:dyDescent="0.6">
      <c r="A121" s="9">
        <v>43466</v>
      </c>
      <c r="B121" s="13">
        <f>'[1]2019.01'!B23</f>
        <v>0</v>
      </c>
      <c r="C121" s="13">
        <f>'[1]2019.01'!B40</f>
        <v>0</v>
      </c>
      <c r="D121" s="13">
        <f>'[1]2019.01'!B55</f>
        <v>0</v>
      </c>
      <c r="E121" s="13">
        <f>'[1]2019.01'!B64</f>
        <v>0</v>
      </c>
      <c r="F121" s="13"/>
      <c r="G121" s="7">
        <f t="shared" si="2"/>
        <v>0</v>
      </c>
      <c r="H121" s="5">
        <v>1.7330000000000001</v>
      </c>
      <c r="I121" s="5">
        <v>1.75</v>
      </c>
      <c r="J121" s="8">
        <f t="shared" si="3"/>
        <v>-1.75</v>
      </c>
    </row>
    <row r="122" spans="1:10" x14ac:dyDescent="0.6">
      <c r="A122" s="9">
        <v>43497</v>
      </c>
      <c r="B122" s="13">
        <f>'[1]2019.02'!B23</f>
        <v>0</v>
      </c>
      <c r="C122" s="13">
        <f>'[1]2019.02'!B40</f>
        <v>0</v>
      </c>
      <c r="D122" s="13" t="str">
        <f>'[1]2019.02'!C55</f>
        <v>평균</v>
      </c>
      <c r="E122" s="13">
        <f>'[1]2019.02'!B64</f>
        <v>0</v>
      </c>
      <c r="F122" s="13"/>
      <c r="G122" s="7">
        <f t="shared" si="2"/>
        <v>0</v>
      </c>
      <c r="H122" s="5">
        <v>1.76</v>
      </c>
      <c r="I122" s="5">
        <v>1.75</v>
      </c>
      <c r="J122" s="8">
        <f t="shared" si="3"/>
        <v>-1.75</v>
      </c>
    </row>
    <row r="123" spans="1:10" x14ac:dyDescent="0.6">
      <c r="A123" s="9">
        <v>43525</v>
      </c>
      <c r="B123" s="13">
        <f>'[1]2019.03'!B22</f>
        <v>0</v>
      </c>
      <c r="C123" s="13">
        <f>'[1]2019.03'!B39</f>
        <v>0</v>
      </c>
      <c r="D123" s="13">
        <f>'[1]2019.03'!B53</f>
        <v>0</v>
      </c>
      <c r="E123" s="13">
        <f>'[1]2019.03'!B62</f>
        <v>0</v>
      </c>
      <c r="F123" s="13">
        <f>'[1]2019.03'!B85</f>
        <v>0</v>
      </c>
      <c r="G123" s="7">
        <f t="shared" si="2"/>
        <v>0</v>
      </c>
      <c r="H123" s="5">
        <v>1.7689999999999999</v>
      </c>
      <c r="I123" s="5">
        <v>1.75</v>
      </c>
      <c r="J123" s="8">
        <f t="shared" si="3"/>
        <v>-1.75</v>
      </c>
    </row>
    <row r="124" spans="1:10" x14ac:dyDescent="0.6">
      <c r="A124" s="9">
        <v>43556</v>
      </c>
      <c r="B124" s="13">
        <f>'[1]2019.04'!B22</f>
        <v>0</v>
      </c>
      <c r="C124" s="13">
        <f>'[1]2019.04'!B39</f>
        <v>0</v>
      </c>
      <c r="D124" s="13">
        <f>'[1]2019.04'!B53</f>
        <v>0</v>
      </c>
      <c r="E124" s="13">
        <f>'[1]2019.04'!B62</f>
        <v>0</v>
      </c>
      <c r="F124" s="13">
        <f>'[1]2019.04'!B85</f>
        <v>0</v>
      </c>
      <c r="G124" s="7">
        <f t="shared" si="2"/>
        <v>0</v>
      </c>
      <c r="H124" s="5">
        <v>1.7509999999999999</v>
      </c>
      <c r="I124" s="5">
        <v>1.75</v>
      </c>
      <c r="J124" s="8">
        <f t="shared" si="3"/>
        <v>-1.75</v>
      </c>
    </row>
    <row r="125" spans="1:10" x14ac:dyDescent="0.6">
      <c r="A125" s="9">
        <v>43586</v>
      </c>
      <c r="B125" s="13">
        <f>'[1]2019.05'!B22</f>
        <v>0</v>
      </c>
      <c r="C125" s="13">
        <f>'[1]2019.05'!B39</f>
        <v>0</v>
      </c>
      <c r="D125" s="13">
        <f>'[1]2019.05'!B53</f>
        <v>0</v>
      </c>
      <c r="E125" s="13">
        <f>'[1]2019.05'!B62</f>
        <v>0</v>
      </c>
      <c r="F125" s="13">
        <f>'[1]2019.05'!B85</f>
        <v>0</v>
      </c>
      <c r="G125" s="7">
        <f t="shared" si="2"/>
        <v>0</v>
      </c>
      <c r="H125" s="5">
        <v>1.7110000000000001</v>
      </c>
      <c r="I125" s="5">
        <v>1.75</v>
      </c>
      <c r="J125" s="8">
        <f t="shared" si="3"/>
        <v>-1.75</v>
      </c>
    </row>
    <row r="126" spans="1:10" x14ac:dyDescent="0.6">
      <c r="A126" s="9">
        <v>43617</v>
      </c>
      <c r="B126" s="13">
        <f>'[1]2019.06'!B23</f>
        <v>0</v>
      </c>
      <c r="C126" s="13">
        <f>'[1]2019.06'!B40</f>
        <v>0</v>
      </c>
      <c r="D126" s="13">
        <f>'[1]2019.06'!B54</f>
        <v>0</v>
      </c>
      <c r="E126" s="13">
        <f>'[1]2019.06'!B63</f>
        <v>0</v>
      </c>
      <c r="F126" s="13">
        <f>'[1]2019.06'!B86</f>
        <v>0</v>
      </c>
      <c r="G126" s="7">
        <f t="shared" si="2"/>
        <v>0</v>
      </c>
      <c r="H126" s="5">
        <v>1.56</v>
      </c>
      <c r="I126" s="5">
        <v>1.75</v>
      </c>
      <c r="J126" s="8">
        <f t="shared" si="3"/>
        <v>-1.75</v>
      </c>
    </row>
    <row r="127" spans="1:10" x14ac:dyDescent="0.6">
      <c r="A127" s="9">
        <v>43647</v>
      </c>
      <c r="B127" s="13" t="e">
        <f>AVERAGE('[1]2019.07'!B6:B21)</f>
        <v>#DIV/0!</v>
      </c>
      <c r="C127" s="13" t="e">
        <f>AVERAGE('[1]2019.07'!B22:B35)</f>
        <v>#DIV/0!</v>
      </c>
      <c r="D127" s="13" t="e">
        <f>AVERAGE('[1]2019.07'!B47:B52)</f>
        <v>#DIV/0!</v>
      </c>
      <c r="E127" s="13" t="e">
        <f>AVERAGE('[1]2019.07'!B47:B52)</f>
        <v>#DIV/0!</v>
      </c>
      <c r="F127" s="13" t="e">
        <f>AVERAGE('[1]2019.07'!B53:B64)</f>
        <v>#DIV/0!</v>
      </c>
      <c r="G127" s="7" t="e">
        <f t="shared" si="2"/>
        <v>#DIV/0!</v>
      </c>
      <c r="H127" s="5">
        <v>1.478</v>
      </c>
      <c r="I127" s="5">
        <v>1.5</v>
      </c>
      <c r="J127" s="8" t="e">
        <f t="shared" si="3"/>
        <v>#DIV/0!</v>
      </c>
    </row>
    <row r="128" spans="1:10" x14ac:dyDescent="0.6">
      <c r="A128" s="9">
        <v>43678</v>
      </c>
      <c r="B128" s="13" t="e">
        <f>AVERAGE('[1]2019.08'!B6:B21)</f>
        <v>#DIV/0!</v>
      </c>
      <c r="C128" s="13" t="e">
        <f>AVERAGE('[1]2019.08'!B22:B35)</f>
        <v>#DIV/0!</v>
      </c>
      <c r="D128" s="13" t="e">
        <f>AVERAGE('[1]2019.08'!B36:B46)</f>
        <v>#DIV/0!</v>
      </c>
      <c r="E128" s="13" t="e">
        <f>AVERAGE('[1]2019.08'!B47:B52)</f>
        <v>#DIV/0!</v>
      </c>
      <c r="F128" s="13" t="e">
        <f>AVERAGE('[1]2019.08'!B53:B64)</f>
        <v>#DIV/0!</v>
      </c>
      <c r="G128" s="7" t="e">
        <f t="shared" si="2"/>
        <v>#DIV/0!</v>
      </c>
      <c r="H128" s="5">
        <v>1.1859999999999999</v>
      </c>
      <c r="I128" s="5">
        <v>1.5</v>
      </c>
      <c r="J128" s="8" t="e">
        <f t="shared" si="3"/>
        <v>#DIV/0!</v>
      </c>
    </row>
    <row r="129" spans="1:10" x14ac:dyDescent="0.6">
      <c r="A129" s="9">
        <v>43709</v>
      </c>
      <c r="B129" s="13" t="e">
        <f>AVERAGE('[1]2019.09'!B6:B18)</f>
        <v>#DIV/0!</v>
      </c>
      <c r="C129" s="13" t="e">
        <f>AVERAGE('[1]2019.09'!B22:B35)</f>
        <v>#DIV/0!</v>
      </c>
      <c r="D129" s="13" t="e">
        <f>AVERAGE('[1]2019.09'!B36:B46)</f>
        <v>#DIV/0!</v>
      </c>
      <c r="E129" s="13" t="e">
        <f>AVERAGE('[1]2019.09'!B47:B52)</f>
        <v>#DIV/0!</v>
      </c>
      <c r="F129" s="13" t="e">
        <f>AVERAGE('[1]2019.09'!B53:B64)</f>
        <v>#DIV/0!</v>
      </c>
      <c r="G129" s="7" t="e">
        <f t="shared" si="2"/>
        <v>#DIV/0!</v>
      </c>
      <c r="H129" s="5">
        <v>1.228</v>
      </c>
      <c r="I129" s="5">
        <v>1.5</v>
      </c>
      <c r="J129" s="8" t="e">
        <f t="shared" si="3"/>
        <v>#DIV/0!</v>
      </c>
    </row>
    <row r="130" spans="1:10" x14ac:dyDescent="0.6">
      <c r="A130" s="9">
        <v>43739</v>
      </c>
      <c r="B130" s="13" t="e">
        <f>AVERAGE('[1]2019.10'!B6:B18)</f>
        <v>#DIV/0!</v>
      </c>
      <c r="C130" s="13" t="e">
        <f>AVERAGE('[1]2019.10'!B22:B35)</f>
        <v>#DIV/0!</v>
      </c>
      <c r="D130" s="13" t="e">
        <f>AVERAGE('[1]2019.10'!B36:B46)</f>
        <v>#DIV/0!</v>
      </c>
      <c r="E130" s="13" t="e">
        <f>AVERAGE('[1]2019.10'!B47:B52)</f>
        <v>#DIV/0!</v>
      </c>
      <c r="F130" s="13" t="e">
        <f>AVERAGE('[1]2019.10'!B53:B64)</f>
        <v>#DIV/0!</v>
      </c>
      <c r="G130" s="7" t="e">
        <f t="shared" si="2"/>
        <v>#DIV/0!</v>
      </c>
      <c r="H130" s="5">
        <v>1.298</v>
      </c>
      <c r="I130" s="5">
        <v>1.25</v>
      </c>
      <c r="J130" s="8" t="e">
        <f t="shared" si="3"/>
        <v>#DIV/0!</v>
      </c>
    </row>
    <row r="131" spans="1:10" x14ac:dyDescent="0.6">
      <c r="A131" s="9">
        <v>43770</v>
      </c>
      <c r="B131" s="13" t="e">
        <f>AVERAGE('[1]2019.11'!B6:B18)</f>
        <v>#DIV/0!</v>
      </c>
      <c r="C131" s="13" t="e">
        <f>AVERAGE('[1]2019.11'!B22:B35)</f>
        <v>#DIV/0!</v>
      </c>
      <c r="D131" s="13" t="e">
        <f>AVERAGE('[1]2019.11'!B36:B46)</f>
        <v>#DIV/0!</v>
      </c>
      <c r="E131" s="13" t="e">
        <f>AVERAGE('[1]2019.11'!B47:B52)</f>
        <v>#DIV/0!</v>
      </c>
      <c r="F131" s="13" t="e">
        <f>AVERAGE('[1]2019.11'!B53:B65)</f>
        <v>#DIV/0!</v>
      </c>
      <c r="G131" s="7" t="e">
        <f t="shared" si="2"/>
        <v>#DIV/0!</v>
      </c>
      <c r="H131" s="5">
        <v>1.3859999999999999</v>
      </c>
      <c r="I131" s="5">
        <v>1.25</v>
      </c>
      <c r="J131" s="8" t="e">
        <f t="shared" si="3"/>
        <v>#DIV/0!</v>
      </c>
    </row>
    <row r="132" spans="1:10" x14ac:dyDescent="0.6">
      <c r="A132" s="10">
        <v>43800</v>
      </c>
      <c r="B132" s="14" t="e">
        <f>AVERAGE('[1]2019.12'!B6:B18)</f>
        <v>#DIV/0!</v>
      </c>
      <c r="C132" s="14" t="e">
        <f>AVERAGE('[1]2019.12'!B22:B35)</f>
        <v>#DIV/0!</v>
      </c>
      <c r="D132" s="14" t="e">
        <f>AVERAGE('[1]2019.12'!B36:B46)</f>
        <v>#DIV/0!</v>
      </c>
      <c r="E132" s="14" t="e">
        <f>AVERAGE('[1]2019.12'!B47:B52)</f>
        <v>#DIV/0!</v>
      </c>
      <c r="F132" s="14" t="e">
        <f>AVERAGE('[1]2019.12'!B53:B67)</f>
        <v>#DIV/0!</v>
      </c>
      <c r="G132" s="11" t="e">
        <f t="shared" si="2"/>
        <v>#DIV/0!</v>
      </c>
      <c r="H132" s="12">
        <v>1.35</v>
      </c>
      <c r="I132" s="5">
        <v>1.25</v>
      </c>
      <c r="J132" s="8" t="e">
        <f t="shared" si="3"/>
        <v>#DIV/0!</v>
      </c>
    </row>
    <row r="133" spans="1:10" x14ac:dyDescent="0.6">
      <c r="A133" s="9">
        <v>43831</v>
      </c>
      <c r="B133" s="13" t="e">
        <f>AVERAGE('[1]2020.01'!B6:B18)</f>
        <v>#DIV/0!</v>
      </c>
      <c r="C133" s="13" t="e">
        <f>AVERAGE('[1]2020.01'!B22:B35)</f>
        <v>#DIV/0!</v>
      </c>
      <c r="D133" s="13" t="e">
        <f>AVERAGE('[1]2020.01'!B36:B46)</f>
        <v>#DIV/0!</v>
      </c>
      <c r="E133" s="13" t="e">
        <f>AVERAGE('[1]2020.01'!B47:B52)</f>
        <v>#DIV/0!</v>
      </c>
      <c r="F133" s="13" t="e">
        <f>AVERAGE('[1]2020.01'!B53:B67)</f>
        <v>#DIV/0!</v>
      </c>
      <c r="G133" s="7" t="e">
        <f t="shared" ref="G133:G191" si="4">AVERAGE(B133:E133)</f>
        <v>#DIV/0!</v>
      </c>
      <c r="H133" s="5">
        <v>1.3160000000000001</v>
      </c>
      <c r="I133" s="5">
        <v>1.25</v>
      </c>
      <c r="J133" s="8" t="e">
        <f t="shared" si="3"/>
        <v>#DIV/0!</v>
      </c>
    </row>
    <row r="134" spans="1:10" x14ac:dyDescent="0.6">
      <c r="A134" s="9">
        <v>43862</v>
      </c>
      <c r="B134" s="13" t="e">
        <f>AVERAGE('[1]2020.02'!B6:B18)</f>
        <v>#DIV/0!</v>
      </c>
      <c r="C134" s="13" t="e">
        <f>AVERAGE('[1]2020.02'!B22:B35)</f>
        <v>#DIV/0!</v>
      </c>
      <c r="D134" s="13" t="e">
        <f>AVERAGE('[1]2020.02'!B36:B46)</f>
        <v>#DIV/0!</v>
      </c>
      <c r="E134" s="13" t="e">
        <f>AVERAGE('[1]2020.02'!B47:B52)</f>
        <v>#DIV/0!</v>
      </c>
      <c r="F134" s="13" t="e">
        <f>AVERAGE('[1]2020.02'!B53:B68)</f>
        <v>#DIV/0!</v>
      </c>
      <c r="G134" s="7" t="e">
        <f t="shared" si="4"/>
        <v>#DIV/0!</v>
      </c>
      <c r="H134" s="5">
        <v>1.214</v>
      </c>
      <c r="I134" s="5">
        <v>1.25</v>
      </c>
      <c r="J134" s="8" t="e">
        <f t="shared" ref="J134:J198" si="5">B134-I134</f>
        <v>#DIV/0!</v>
      </c>
    </row>
    <row r="135" spans="1:10" x14ac:dyDescent="0.6">
      <c r="A135" s="9">
        <v>43891</v>
      </c>
      <c r="B135" s="13" t="e">
        <f>AVERAGE('[1]2020.03'!B$6:B$18)</f>
        <v>#DIV/0!</v>
      </c>
      <c r="C135" s="13" t="e">
        <f>AVERAGE('[1]2020.03'!B$22:B$35)</f>
        <v>#DIV/0!</v>
      </c>
      <c r="D135" s="13" t="e">
        <f>AVERAGE('[1]2020.03'!B$36:B$46)</f>
        <v>#DIV/0!</v>
      </c>
      <c r="E135" s="13" t="e">
        <f>AVERAGE('[1]2020.03'!B$47:B$52)</f>
        <v>#DIV/0!</v>
      </c>
      <c r="F135" s="13" t="e">
        <f>AVERAGE('[1]2020.03'!B$55:B$70)</f>
        <v>#DIV/0!</v>
      </c>
      <c r="G135" s="7" t="e">
        <f t="shared" si="4"/>
        <v>#DIV/0!</v>
      </c>
      <c r="I135" s="5">
        <v>0.75</v>
      </c>
      <c r="J135" s="8" t="e">
        <f t="shared" si="5"/>
        <v>#DIV/0!</v>
      </c>
    </row>
    <row r="136" spans="1:10" x14ac:dyDescent="0.6">
      <c r="A136" s="9">
        <v>43922</v>
      </c>
      <c r="B136" s="13" t="e">
        <f>AVERAGE('[1]2020.04'!B$6:B$18)</f>
        <v>#DIV/0!</v>
      </c>
      <c r="C136" s="13" t="e">
        <f>AVERAGE('[1]2020.04'!B$22:B$35)</f>
        <v>#DIV/0!</v>
      </c>
      <c r="D136" s="13" t="e">
        <f>AVERAGE('[1]2020.04'!B$36:B$46)</f>
        <v>#DIV/0!</v>
      </c>
      <c r="E136" s="13" t="e">
        <f>AVERAGE('[1]2020.04'!B$47:B$52)</f>
        <v>#DIV/0!</v>
      </c>
      <c r="F136" s="13" t="e">
        <f>AVERAGE('[1]2020.04'!B$55:B$70)</f>
        <v>#DIV/0!</v>
      </c>
      <c r="G136" s="7" t="e">
        <f t="shared" si="4"/>
        <v>#DIV/0!</v>
      </c>
      <c r="I136" s="5">
        <v>0.75</v>
      </c>
      <c r="J136" s="8" t="e">
        <f t="shared" si="5"/>
        <v>#DIV/0!</v>
      </c>
    </row>
    <row r="137" spans="1:10" x14ac:dyDescent="0.6">
      <c r="A137" s="9">
        <v>43952</v>
      </c>
      <c r="B137" s="13" t="e">
        <f>AVERAGE('[1]2020.05'!B$6:B$18)</f>
        <v>#DIV/0!</v>
      </c>
      <c r="C137" s="13" t="e">
        <f>AVERAGE('[1]2020.05'!B$22:B$35)</f>
        <v>#DIV/0!</v>
      </c>
      <c r="D137" s="13" t="e">
        <f>AVERAGE('[1]2020.05'!B$36:B$46)</f>
        <v>#DIV/0!</v>
      </c>
      <c r="E137" s="13" t="e">
        <f>AVERAGE('[1]2020.05'!B$47:B$52)</f>
        <v>#DIV/0!</v>
      </c>
      <c r="F137" s="13" t="e">
        <f>AVERAGE('[1]2020.05'!B$55:B$70)</f>
        <v>#DIV/0!</v>
      </c>
      <c r="G137" s="7" t="e">
        <f t="shared" si="4"/>
        <v>#DIV/0!</v>
      </c>
      <c r="I137" s="5">
        <v>0.75</v>
      </c>
      <c r="J137" s="8" t="e">
        <f t="shared" si="5"/>
        <v>#DIV/0!</v>
      </c>
    </row>
    <row r="138" spans="1:10" x14ac:dyDescent="0.6">
      <c r="A138" s="9">
        <v>43983</v>
      </c>
      <c r="B138" s="13" t="e">
        <f>AVERAGE('[1]2020.06'!C$6:C$18)</f>
        <v>#DIV/0!</v>
      </c>
      <c r="C138" s="13" t="e">
        <f>AVERAGE('[1]2020.06'!C$22:C$35)</f>
        <v>#DIV/0!</v>
      </c>
      <c r="D138" s="13" t="e">
        <f>AVERAGE('[1]2020.06'!C$36:C$46)</f>
        <v>#DIV/0!</v>
      </c>
      <c r="E138" s="13" t="e">
        <f>AVERAGE('[1]2020.06'!C$47:C$52)</f>
        <v>#DIV/0!</v>
      </c>
      <c r="F138" s="13" t="e">
        <f>AVERAGE('[1]2020.06'!C$55:C$70)</f>
        <v>#DIV/0!</v>
      </c>
      <c r="G138" s="7" t="e">
        <f t="shared" si="4"/>
        <v>#DIV/0!</v>
      </c>
      <c r="I138" s="5">
        <v>0.5</v>
      </c>
      <c r="J138" s="8" t="e">
        <f t="shared" si="5"/>
        <v>#DIV/0!</v>
      </c>
    </row>
    <row r="139" spans="1:10" x14ac:dyDescent="0.6">
      <c r="A139" s="9">
        <v>44013</v>
      </c>
      <c r="B139" s="13" t="e">
        <f>AVERAGE('[1]2020.07'!C$6:C$18)</f>
        <v>#DIV/0!</v>
      </c>
      <c r="C139" s="13" t="e">
        <f>AVERAGE('[1]2020.07'!C$22:C$35)</f>
        <v>#DIV/0!</v>
      </c>
      <c r="D139" s="13" t="e">
        <f>AVERAGE('[1]2020.07'!C$36:C$46)</f>
        <v>#DIV/0!</v>
      </c>
      <c r="E139" s="13" t="e">
        <f>AVERAGE('[1]2020.07'!C$47:C$52)</f>
        <v>#DIV/0!</v>
      </c>
      <c r="F139" s="13" t="e">
        <f>AVERAGE('[1]2020.07'!C$55:C$70)</f>
        <v>#DIV/0!</v>
      </c>
      <c r="G139" s="7" t="e">
        <f t="shared" si="4"/>
        <v>#DIV/0!</v>
      </c>
      <c r="I139" s="5">
        <v>0.5</v>
      </c>
      <c r="J139" s="8" t="e">
        <f t="shared" si="5"/>
        <v>#DIV/0!</v>
      </c>
    </row>
    <row r="140" spans="1:10" x14ac:dyDescent="0.6">
      <c r="A140" s="9">
        <v>44044</v>
      </c>
      <c r="B140" s="13" t="e">
        <f>AVERAGE('[1]2020.08'!C$6:C$18)</f>
        <v>#DIV/0!</v>
      </c>
      <c r="C140" s="13" t="e">
        <f>AVERAGE('[1]2020.08'!C$22:C$35)</f>
        <v>#DIV/0!</v>
      </c>
      <c r="D140" s="13" t="e">
        <f>AVERAGE('[1]2020.08'!C$36:C$46)</f>
        <v>#DIV/0!</v>
      </c>
      <c r="E140" s="13" t="e">
        <f>AVERAGE('[1]2020.08'!C$47:C$52)</f>
        <v>#DIV/0!</v>
      </c>
      <c r="F140" s="13" t="e">
        <f>AVERAGE('[1]2020.08'!C$55:C$70)</f>
        <v>#DIV/0!</v>
      </c>
      <c r="G140" s="7" t="e">
        <f t="shared" si="4"/>
        <v>#DIV/0!</v>
      </c>
      <c r="I140" s="5">
        <v>0.5</v>
      </c>
      <c r="J140" s="8" t="e">
        <f t="shared" si="5"/>
        <v>#DIV/0!</v>
      </c>
    </row>
    <row r="141" spans="1:10" x14ac:dyDescent="0.6">
      <c r="A141" s="9">
        <v>44075</v>
      </c>
      <c r="B141" s="13" t="e">
        <f>AVERAGE('[1]2020.09'!C$6:C$18)</f>
        <v>#DIV/0!</v>
      </c>
      <c r="C141" s="13" t="e">
        <f>AVERAGE('[1]2020.09'!C$22:C$35)</f>
        <v>#DIV/0!</v>
      </c>
      <c r="D141" s="13" t="e">
        <f>AVERAGE('[1]2020.09'!C$36:C$46)</f>
        <v>#DIV/0!</v>
      </c>
      <c r="E141" s="13" t="e">
        <f>AVERAGE('[1]2020.09'!C$47:C$52)</f>
        <v>#DIV/0!</v>
      </c>
      <c r="F141" s="13" t="e">
        <f>AVERAGE('[1]2020.09'!C$55:C$70)</f>
        <v>#DIV/0!</v>
      </c>
      <c r="G141" s="7" t="e">
        <f t="shared" si="4"/>
        <v>#DIV/0!</v>
      </c>
      <c r="I141" s="5">
        <v>0.5</v>
      </c>
      <c r="J141" s="8" t="e">
        <f t="shared" si="5"/>
        <v>#DIV/0!</v>
      </c>
    </row>
    <row r="142" spans="1:10" x14ac:dyDescent="0.6">
      <c r="A142" s="9">
        <v>44105</v>
      </c>
      <c r="B142" s="13" t="e">
        <f>AVERAGE('[1]2020.10'!C$6:C$18)</f>
        <v>#DIV/0!</v>
      </c>
      <c r="C142" s="13" t="e">
        <f>AVERAGE('[1]2020.10'!C$22:C$35)</f>
        <v>#DIV/0!</v>
      </c>
      <c r="D142" s="13" t="e">
        <f>AVERAGE('[1]2020.10'!C$36:C$46)</f>
        <v>#DIV/0!</v>
      </c>
      <c r="E142" s="13" t="e">
        <f>AVERAGE('[1]2020.10'!C$47:C$52)</f>
        <v>#DIV/0!</v>
      </c>
      <c r="F142" s="13" t="e">
        <f>AVERAGE('[1]2020.10'!C$55:C$70)</f>
        <v>#DIV/0!</v>
      </c>
      <c r="G142" s="7" t="e">
        <f t="shared" si="4"/>
        <v>#DIV/0!</v>
      </c>
      <c r="I142" s="5">
        <v>0.5</v>
      </c>
      <c r="J142" s="8" t="e">
        <f t="shared" si="5"/>
        <v>#DIV/0!</v>
      </c>
    </row>
    <row r="143" spans="1:10" x14ac:dyDescent="0.6">
      <c r="A143" s="9">
        <v>44136</v>
      </c>
      <c r="B143" s="13" t="e">
        <f>AVERAGE('[1]2020.11'!C$6:C$18)</f>
        <v>#DIV/0!</v>
      </c>
      <c r="C143" s="13" t="e">
        <f>AVERAGE('[1]2020.11'!C$22:C$35)</f>
        <v>#DIV/0!</v>
      </c>
      <c r="D143" s="13" t="e">
        <f>AVERAGE('[1]2020.11'!C$36:C$46)</f>
        <v>#DIV/0!</v>
      </c>
      <c r="E143" s="13" t="e">
        <f>AVERAGE('[1]2020.11'!C$47:C$52)</f>
        <v>#DIV/0!</v>
      </c>
      <c r="F143" s="13" t="e">
        <f>AVERAGE('[1]2020.11'!C$55:C$70)</f>
        <v>#DIV/0!</v>
      </c>
      <c r="G143" s="7" t="e">
        <f t="shared" si="4"/>
        <v>#DIV/0!</v>
      </c>
      <c r="I143" s="5">
        <v>0.5</v>
      </c>
      <c r="J143" s="8" t="e">
        <f t="shared" si="5"/>
        <v>#DIV/0!</v>
      </c>
    </row>
    <row r="144" spans="1:10" x14ac:dyDescent="0.6">
      <c r="A144" s="10">
        <v>44166</v>
      </c>
      <c r="B144" s="14" t="e">
        <f>AVERAGE('[1]2020.12'!C$6:C$18)</f>
        <v>#DIV/0!</v>
      </c>
      <c r="C144" s="14" t="e">
        <f>AVERAGE('[1]2020.12'!C$22:C$35)</f>
        <v>#DIV/0!</v>
      </c>
      <c r="D144" s="14" t="e">
        <f>AVERAGE('[1]2020.12'!C$36:C$46)</f>
        <v>#DIV/0!</v>
      </c>
      <c r="E144" s="14" t="e">
        <f>AVERAGE('[1]2020.12'!C$47:C$52)</f>
        <v>#DIV/0!</v>
      </c>
      <c r="F144" s="14" t="e">
        <f>AVERAGE('[1]2020.12'!C$55:C$70)</f>
        <v>#DIV/0!</v>
      </c>
      <c r="G144" s="11" t="e">
        <f t="shared" si="4"/>
        <v>#DIV/0!</v>
      </c>
      <c r="H144" s="12"/>
      <c r="I144" s="5">
        <v>0.5</v>
      </c>
      <c r="J144" s="8" t="e">
        <f t="shared" si="5"/>
        <v>#DIV/0!</v>
      </c>
    </row>
    <row r="145" spans="1:10" x14ac:dyDescent="0.6">
      <c r="A145" s="9">
        <v>44197</v>
      </c>
      <c r="B145" s="13" t="e">
        <f>AVERAGE('[1]2021.01'!B$6:B$18)</f>
        <v>#DIV/0!</v>
      </c>
      <c r="C145" s="13" t="e">
        <f>AVERAGE('[1]2021.01'!B$22:B$35)</f>
        <v>#DIV/0!</v>
      </c>
      <c r="D145" s="13" t="e">
        <f>AVERAGE('[1]2021.01'!B$36:B$46)</f>
        <v>#DIV/0!</v>
      </c>
      <c r="E145" s="13" t="e">
        <f>AVERAGE('[1]2021.01'!B$47:B$52)</f>
        <v>#DIV/0!</v>
      </c>
      <c r="F145" s="13" t="e">
        <f>AVERAGE('[1]2021.01'!B$55:B$70)</f>
        <v>#DIV/0!</v>
      </c>
      <c r="G145" s="7" t="e">
        <f t="shared" si="4"/>
        <v>#DIV/0!</v>
      </c>
      <c r="I145" s="5">
        <v>0.5</v>
      </c>
      <c r="J145" s="8" t="e">
        <f t="shared" si="5"/>
        <v>#DIV/0!</v>
      </c>
    </row>
    <row r="146" spans="1:10" x14ac:dyDescent="0.6">
      <c r="A146" s="9">
        <v>44228</v>
      </c>
      <c r="B146" s="13" t="e">
        <f>AVERAGE('[1]2021.02'!B$6:B$18)</f>
        <v>#DIV/0!</v>
      </c>
      <c r="C146" s="13" t="e">
        <f>AVERAGE('[1]2021.02'!B$22:B$35)</f>
        <v>#DIV/0!</v>
      </c>
      <c r="D146" s="13" t="e">
        <f>AVERAGE('[1]2021.02'!B$36:B$46)</f>
        <v>#DIV/0!</v>
      </c>
      <c r="E146" s="13" t="e">
        <f>AVERAGE('[1]2021.02'!B$47:B$52)</f>
        <v>#DIV/0!</v>
      </c>
      <c r="F146" s="13" t="e">
        <f>AVERAGE('[1]2021.02'!B$55:B$70)</f>
        <v>#DIV/0!</v>
      </c>
      <c r="G146" s="7" t="e">
        <f t="shared" si="4"/>
        <v>#DIV/0!</v>
      </c>
      <c r="I146" s="5">
        <v>0.5</v>
      </c>
      <c r="J146" s="8" t="e">
        <f t="shared" si="5"/>
        <v>#DIV/0!</v>
      </c>
    </row>
    <row r="147" spans="1:10" x14ac:dyDescent="0.6">
      <c r="A147" s="9">
        <v>44256</v>
      </c>
      <c r="B147" s="13" t="e">
        <f>AVERAGE('[1]2021.03'!B$6:B$18)</f>
        <v>#DIV/0!</v>
      </c>
      <c r="C147" s="13" t="e">
        <f>AVERAGE('[1]2021.03'!B$22:B$35)</f>
        <v>#DIV/0!</v>
      </c>
      <c r="D147" s="13" t="e">
        <f>AVERAGE('[1]2021.03'!B$36:B$46)</f>
        <v>#DIV/0!</v>
      </c>
      <c r="E147" s="13" t="e">
        <f>AVERAGE('[1]2021.03'!B$47:B$52)</f>
        <v>#DIV/0!</v>
      </c>
      <c r="F147" s="13" t="e">
        <f>AVERAGE('[1]2021.03'!B$55:B$70)</f>
        <v>#DIV/0!</v>
      </c>
      <c r="G147" s="7" t="e">
        <f t="shared" si="4"/>
        <v>#DIV/0!</v>
      </c>
      <c r="I147" s="5">
        <v>0.5</v>
      </c>
      <c r="J147" s="8" t="e">
        <f t="shared" si="5"/>
        <v>#DIV/0!</v>
      </c>
    </row>
    <row r="148" spans="1:10" x14ac:dyDescent="0.6">
      <c r="A148" s="9">
        <v>44287</v>
      </c>
      <c r="B148" s="13" t="e">
        <f>AVERAGE('[1]2021.04'!B$6:B$18)</f>
        <v>#DIV/0!</v>
      </c>
      <c r="C148" s="13" t="e">
        <f>AVERAGE('[1]2021.04'!B$22:B$35)</f>
        <v>#DIV/0!</v>
      </c>
      <c r="D148" s="13" t="e">
        <f>AVERAGE('[1]2021.04'!B$36:B$46)</f>
        <v>#DIV/0!</v>
      </c>
      <c r="E148" s="13" t="e">
        <f>AVERAGE('[1]2021.04'!B$47:B$52)</f>
        <v>#DIV/0!</v>
      </c>
      <c r="F148" s="13" t="e">
        <f>AVERAGE('[1]2021.04'!B$55:B$70)</f>
        <v>#DIV/0!</v>
      </c>
      <c r="G148" s="7" t="e">
        <f t="shared" si="4"/>
        <v>#DIV/0!</v>
      </c>
      <c r="I148" s="5">
        <v>0.5</v>
      </c>
      <c r="J148" s="8" t="e">
        <f t="shared" si="5"/>
        <v>#DIV/0!</v>
      </c>
    </row>
    <row r="149" spans="1:10" x14ac:dyDescent="0.6">
      <c r="A149" s="9">
        <v>44317</v>
      </c>
      <c r="B149" s="13" t="e">
        <f>AVERAGE('[1]2021.05'!B$6:B$18)</f>
        <v>#DIV/0!</v>
      </c>
      <c r="C149" s="13" t="e">
        <f>AVERAGE('[1]2021.05'!B$22:B$35)</f>
        <v>#DIV/0!</v>
      </c>
      <c r="D149" s="13" t="e">
        <f>AVERAGE('[1]2021.05'!B$36:B$46)</f>
        <v>#DIV/0!</v>
      </c>
      <c r="E149" s="13" t="e">
        <f>AVERAGE('[1]2021.05'!B$47:B$52)</f>
        <v>#DIV/0!</v>
      </c>
      <c r="F149" s="13" t="e">
        <f>AVERAGE('[1]2021.05'!B$53:B$70)</f>
        <v>#DIV/0!</v>
      </c>
      <c r="G149" s="7" t="e">
        <f t="shared" si="4"/>
        <v>#DIV/0!</v>
      </c>
      <c r="I149" s="5">
        <v>0.5</v>
      </c>
      <c r="J149" s="8" t="e">
        <f t="shared" si="5"/>
        <v>#DIV/0!</v>
      </c>
    </row>
    <row r="150" spans="1:10" x14ac:dyDescent="0.6">
      <c r="A150" s="9">
        <v>44348</v>
      </c>
      <c r="B150" s="13" t="e">
        <f>AVERAGE('[1]2021.06'!B$6:B$18)</f>
        <v>#DIV/0!</v>
      </c>
      <c r="C150" s="13" t="e">
        <f>AVERAGE('[1]2021.06'!B$22:B$35)</f>
        <v>#DIV/0!</v>
      </c>
      <c r="D150" s="13" t="e">
        <f>AVERAGE('[1]2021.06'!B$36:B$46)</f>
        <v>#DIV/0!</v>
      </c>
      <c r="E150" s="13" t="e">
        <f>AVERAGE('[1]2021.06'!B$47:B$52)</f>
        <v>#DIV/0!</v>
      </c>
      <c r="F150" s="13" t="e">
        <f>AVERAGE('[1]2021.06'!B$53:B$70)</f>
        <v>#DIV/0!</v>
      </c>
      <c r="G150" s="7" t="e">
        <f t="shared" si="4"/>
        <v>#DIV/0!</v>
      </c>
      <c r="I150" s="5">
        <v>0.5</v>
      </c>
      <c r="J150" s="8" t="e">
        <f t="shared" si="5"/>
        <v>#DIV/0!</v>
      </c>
    </row>
    <row r="151" spans="1:10" x14ac:dyDescent="0.6">
      <c r="A151" s="9">
        <v>44378</v>
      </c>
      <c r="B151" s="13" t="e">
        <f>AVERAGE('[1]2021.07'!B$6:B$18)</f>
        <v>#DIV/0!</v>
      </c>
      <c r="C151" s="13" t="e">
        <f>AVERAGE('[1]2021.07'!B$22:B$35)</f>
        <v>#DIV/0!</v>
      </c>
      <c r="D151" s="13" t="e">
        <f>AVERAGE('[1]2021.07'!B$36:B$46)</f>
        <v>#DIV/0!</v>
      </c>
      <c r="E151" s="13" t="e">
        <f>AVERAGE('[1]2021.07'!B$47:B$52)</f>
        <v>#DIV/0!</v>
      </c>
      <c r="F151" s="13" t="e">
        <f>AVERAGE('[1]2021.07'!B$53:B$70)</f>
        <v>#DIV/0!</v>
      </c>
      <c r="G151" s="7" t="e">
        <f t="shared" si="4"/>
        <v>#DIV/0!</v>
      </c>
      <c r="I151" s="5">
        <v>0.5</v>
      </c>
      <c r="J151" s="8" t="e">
        <f t="shared" si="5"/>
        <v>#DIV/0!</v>
      </c>
    </row>
    <row r="152" spans="1:10" x14ac:dyDescent="0.6">
      <c r="A152" s="9">
        <v>44409</v>
      </c>
      <c r="B152" s="13" t="e">
        <f>AVERAGE('[1]2021.08'!B$6:B$18)</f>
        <v>#DIV/0!</v>
      </c>
      <c r="C152" s="13" t="e">
        <f>AVERAGE('[1]2021.08'!B$22:B$35)</f>
        <v>#DIV/0!</v>
      </c>
      <c r="D152" s="13" t="e">
        <f>AVERAGE('[1]2021.08'!B$36:B$46)</f>
        <v>#DIV/0!</v>
      </c>
      <c r="E152" s="13" t="e">
        <f>AVERAGE('[1]2021.08'!B$47:B$52)</f>
        <v>#DIV/0!</v>
      </c>
      <c r="F152" s="13" t="e">
        <f>AVERAGE('[1]2021.08'!B$53:B$70)</f>
        <v>#DIV/0!</v>
      </c>
      <c r="G152" s="7" t="e">
        <f t="shared" si="4"/>
        <v>#DIV/0!</v>
      </c>
      <c r="I152" s="5">
        <v>0.5</v>
      </c>
      <c r="J152" s="8" t="e">
        <f t="shared" si="5"/>
        <v>#DIV/0!</v>
      </c>
    </row>
    <row r="153" spans="1:10" x14ac:dyDescent="0.6">
      <c r="A153" s="9">
        <v>44440</v>
      </c>
      <c r="B153" s="13" t="e">
        <f>AVERAGE('[1]2021.09'!B$6:B$18)</f>
        <v>#DIV/0!</v>
      </c>
      <c r="C153" s="13" t="e">
        <f>AVERAGE('[1]2021.09'!B$22:B$35)</f>
        <v>#DIV/0!</v>
      </c>
      <c r="D153" s="13" t="e">
        <f>AVERAGE('[1]2021.09'!B$36:B$46)</f>
        <v>#DIV/0!</v>
      </c>
      <c r="E153" s="13" t="e">
        <f>AVERAGE('[1]2021.09'!B$47:B$52)</f>
        <v>#DIV/0!</v>
      </c>
      <c r="F153" s="13" t="e">
        <f>AVERAGE('[1]2021.09'!B$53:B$70)</f>
        <v>#DIV/0!</v>
      </c>
      <c r="G153" s="7" t="e">
        <f t="shared" si="4"/>
        <v>#DIV/0!</v>
      </c>
      <c r="I153" s="5">
        <v>0.75</v>
      </c>
      <c r="J153" s="8" t="e">
        <f t="shared" si="5"/>
        <v>#DIV/0!</v>
      </c>
    </row>
    <row r="154" spans="1:10" x14ac:dyDescent="0.6">
      <c r="A154" s="9">
        <v>44470</v>
      </c>
      <c r="B154" s="13" t="e">
        <f>AVERAGE('[1]2021.10'!B$6:B$18)</f>
        <v>#DIV/0!</v>
      </c>
      <c r="C154" s="13" t="e">
        <f>AVERAGE('[1]2021.10'!B$22:B$35)</f>
        <v>#DIV/0!</v>
      </c>
      <c r="D154" s="13" t="e">
        <f>AVERAGE('[1]2021.10'!B$36:B$46)</f>
        <v>#DIV/0!</v>
      </c>
      <c r="E154" s="13" t="e">
        <f>AVERAGE('[1]2021.10'!B$47:B$52)</f>
        <v>#DIV/0!</v>
      </c>
      <c r="F154" s="13" t="e">
        <f>AVERAGE('[1]2021.10'!B$53:B$70)</f>
        <v>#DIV/0!</v>
      </c>
      <c r="G154" s="7" t="e">
        <f t="shared" si="4"/>
        <v>#DIV/0!</v>
      </c>
      <c r="I154" s="5">
        <v>0.75</v>
      </c>
      <c r="J154" s="8" t="e">
        <f t="shared" si="5"/>
        <v>#DIV/0!</v>
      </c>
    </row>
    <row r="155" spans="1:10" x14ac:dyDescent="0.6">
      <c r="A155" s="9">
        <v>44501</v>
      </c>
      <c r="B155" s="13" t="e">
        <f>AVERAGE('[1]2021.11'!B$6:B$18)</f>
        <v>#DIV/0!</v>
      </c>
      <c r="C155" s="13" t="e">
        <f>AVERAGE('[1]2021.11'!B$22:B$35)</f>
        <v>#DIV/0!</v>
      </c>
      <c r="D155" s="13" t="e">
        <f>AVERAGE('[1]2021.11'!B$36:B$46)</f>
        <v>#DIV/0!</v>
      </c>
      <c r="E155" s="13" t="e">
        <f>AVERAGE('[1]2021.11'!B$47:B$52)</f>
        <v>#DIV/0!</v>
      </c>
      <c r="F155" s="13" t="e">
        <f>AVERAGE('[1]2021.11'!B$53:B$70)</f>
        <v>#DIV/0!</v>
      </c>
      <c r="G155" s="7" t="e">
        <f t="shared" si="4"/>
        <v>#DIV/0!</v>
      </c>
      <c r="I155" s="5">
        <v>0.75</v>
      </c>
      <c r="J155" s="8" t="e">
        <f t="shared" si="5"/>
        <v>#DIV/0!</v>
      </c>
    </row>
    <row r="156" spans="1:10" x14ac:dyDescent="0.6">
      <c r="A156" s="10">
        <v>44531</v>
      </c>
      <c r="B156" s="14" t="e">
        <f>AVERAGE('[1]2021.12'!B$6:B$18)</f>
        <v>#DIV/0!</v>
      </c>
      <c r="C156" s="14" t="e">
        <f>AVERAGE('[1]2021.12'!B$23:B$35)</f>
        <v>#DIV/0!</v>
      </c>
      <c r="D156" s="14" t="e">
        <f>AVERAGE('[1]2021.12'!B$37:B$47)</f>
        <v>#DIV/0!</v>
      </c>
      <c r="E156" s="14" t="e">
        <f>AVERAGE('[1]2021.12'!B$48:B$53)</f>
        <v>#DIV/0!</v>
      </c>
      <c r="F156" s="14" t="e">
        <f>AVERAGE('[1]2021.12'!B$53:B$70)</f>
        <v>#DIV/0!</v>
      </c>
      <c r="G156" s="11" t="e">
        <f t="shared" si="4"/>
        <v>#DIV/0!</v>
      </c>
      <c r="H156" s="12"/>
      <c r="I156" s="5">
        <v>1</v>
      </c>
      <c r="J156" s="8" t="e">
        <f t="shared" si="5"/>
        <v>#DIV/0!</v>
      </c>
    </row>
    <row r="157" spans="1:10" x14ac:dyDescent="0.6">
      <c r="A157" s="9">
        <v>44562</v>
      </c>
      <c r="B157" s="13" t="e">
        <f>AVERAGE('[1]2022.01'!B$6:B$18)</f>
        <v>#DIV/0!</v>
      </c>
      <c r="C157" s="13" t="e">
        <f>AVERAGE('[1]2022.01'!B$24:B$37)</f>
        <v>#DIV/0!</v>
      </c>
      <c r="D157" s="13" t="e">
        <f>AVERAGE('[1]2022.01'!B$39:B$49)</f>
        <v>#DIV/0!</v>
      </c>
      <c r="E157" s="13" t="e">
        <f>AVERAGE('[1]2022.01'!B$50:B$55)</f>
        <v>#DIV/0!</v>
      </c>
      <c r="F157" s="13" t="e">
        <f>AVERAGE('[1]2022.01'!B$56:B$75)</f>
        <v>#DIV/0!</v>
      </c>
      <c r="G157" s="7" t="e">
        <f t="shared" si="4"/>
        <v>#DIV/0!</v>
      </c>
      <c r="I157" s="5">
        <v>1.25</v>
      </c>
      <c r="J157" s="8" t="e">
        <f t="shared" si="5"/>
        <v>#DIV/0!</v>
      </c>
    </row>
    <row r="158" spans="1:10" x14ac:dyDescent="0.6">
      <c r="A158" s="9">
        <v>44593</v>
      </c>
      <c r="B158" s="13" t="e">
        <f>AVERAGE('[1]2022.02'!B$6:B$18)</f>
        <v>#DIV/0!</v>
      </c>
      <c r="C158" s="13" t="e">
        <f>AVERAGE('[1]2022.02'!B$24:B$37)</f>
        <v>#DIV/0!</v>
      </c>
      <c r="D158" s="13" t="e">
        <f>AVERAGE('[1]2022.02'!B$39:B$49)</f>
        <v>#DIV/0!</v>
      </c>
      <c r="E158" s="13" t="e">
        <f>AVERAGE('[1]2022.02'!B$50:B$55)</f>
        <v>#DIV/0!</v>
      </c>
      <c r="F158" s="13" t="e">
        <f>AVERAGE('[1]2022.02'!B$56:B$75)</f>
        <v>#DIV/0!</v>
      </c>
      <c r="G158" s="7" t="e">
        <f t="shared" si="4"/>
        <v>#DIV/0!</v>
      </c>
      <c r="I158" s="5">
        <v>1.25</v>
      </c>
      <c r="J158" s="8" t="e">
        <f t="shared" si="5"/>
        <v>#DIV/0!</v>
      </c>
    </row>
    <row r="159" spans="1:10" x14ac:dyDescent="0.6">
      <c r="A159" s="9">
        <v>44621</v>
      </c>
      <c r="B159" s="13" t="e">
        <f>AVERAGE('[1]2022.03'!B$6:B$18)</f>
        <v>#DIV/0!</v>
      </c>
      <c r="C159" s="13" t="e">
        <f>AVERAGE('[1]2022.03'!B$24:B$38)</f>
        <v>#DIV/0!</v>
      </c>
      <c r="D159" s="13" t="e">
        <f>AVERAGE('[1]2022.03'!B$39:B$49)</f>
        <v>#DIV/0!</v>
      </c>
      <c r="E159" s="13" t="e">
        <f>AVERAGE('[1]2022.03'!B$50:B$55)</f>
        <v>#DIV/0!</v>
      </c>
      <c r="F159" s="13" t="e">
        <f>AVERAGE('[1]2022.03'!B$56:B$77)</f>
        <v>#DIV/0!</v>
      </c>
      <c r="G159" s="7" t="e">
        <f t="shared" si="4"/>
        <v>#DIV/0!</v>
      </c>
      <c r="I159" s="5">
        <v>1.25</v>
      </c>
      <c r="J159" s="8" t="e">
        <f t="shared" si="5"/>
        <v>#DIV/0!</v>
      </c>
    </row>
    <row r="160" spans="1:10" x14ac:dyDescent="0.6">
      <c r="A160" s="9">
        <v>44652</v>
      </c>
      <c r="B160" s="13" t="e">
        <f>AVERAGE('[1]2022.04'!B$6:B$18)</f>
        <v>#DIV/0!</v>
      </c>
      <c r="C160" s="13" t="e">
        <f>AVERAGE('[1]2022.04'!B$24:B$37)</f>
        <v>#DIV/0!</v>
      </c>
      <c r="D160" s="13" t="e">
        <f>AVERAGE('[1]2022.04'!B$39:B$49)</f>
        <v>#DIV/0!</v>
      </c>
      <c r="E160" s="13" t="e">
        <f>AVERAGE('[1]2022.04'!B$50:B$55)</f>
        <v>#DIV/0!</v>
      </c>
      <c r="F160" s="13" t="e">
        <f>AVERAGE('[1]2022.04'!B$56:B$77)</f>
        <v>#DIV/0!</v>
      </c>
      <c r="G160" s="7" t="e">
        <f t="shared" si="4"/>
        <v>#DIV/0!</v>
      </c>
      <c r="I160" s="5">
        <v>1.5</v>
      </c>
      <c r="J160" s="8" t="e">
        <f t="shared" si="5"/>
        <v>#DIV/0!</v>
      </c>
    </row>
    <row r="161" spans="1:10" x14ac:dyDescent="0.6">
      <c r="A161" s="9">
        <v>44682</v>
      </c>
      <c r="B161" s="13" t="e">
        <f>AVERAGE('[1]2022.05'!B$6:B$18)</f>
        <v>#DIV/0!</v>
      </c>
      <c r="C161" s="13" t="e">
        <f>AVERAGE('[1]2022.05'!B$25:B$38)</f>
        <v>#DIV/0!</v>
      </c>
      <c r="D161" s="13" t="e">
        <f>AVERAGE('[1]2022.05'!B$40:B$50)</f>
        <v>#DIV/0!</v>
      </c>
      <c r="E161" s="13" t="e">
        <f>AVERAGE('[1]2022.05'!B$51:B$56)</f>
        <v>#DIV/0!</v>
      </c>
      <c r="F161" s="13" t="e">
        <f>AVERAGE('[1]2022.05'!B$57:B$78)</f>
        <v>#DIV/0!</v>
      </c>
      <c r="G161" s="7" t="e">
        <f t="shared" si="4"/>
        <v>#DIV/0!</v>
      </c>
      <c r="I161" s="5">
        <v>1.75</v>
      </c>
      <c r="J161" s="8" t="e">
        <f t="shared" si="5"/>
        <v>#DIV/0!</v>
      </c>
    </row>
    <row r="162" spans="1:10" x14ac:dyDescent="0.6">
      <c r="A162" s="9">
        <v>44713</v>
      </c>
      <c r="B162" s="13" t="e">
        <f>AVERAGE('[1]2022.06'!B$6:B$18)</f>
        <v>#DIV/0!</v>
      </c>
      <c r="C162" s="13" t="e">
        <f>AVERAGE('[1]2022.06'!B$25:B$38)</f>
        <v>#DIV/0!</v>
      </c>
      <c r="D162" s="13" t="e">
        <f>AVERAGE('[1]2022.06'!B$40:B$50)</f>
        <v>#DIV/0!</v>
      </c>
      <c r="E162" s="13" t="e">
        <f>AVERAGE('[1]2022.06'!B$51:B$56)</f>
        <v>#DIV/0!</v>
      </c>
      <c r="F162" s="13" t="e">
        <f>AVERAGE('[1]2022.06'!B$57:B$78)</f>
        <v>#DIV/0!</v>
      </c>
      <c r="G162" s="7" t="e">
        <f t="shared" si="4"/>
        <v>#DIV/0!</v>
      </c>
      <c r="I162" s="5">
        <v>1.75</v>
      </c>
      <c r="J162" s="8" t="e">
        <f t="shared" si="5"/>
        <v>#DIV/0!</v>
      </c>
    </row>
    <row r="163" spans="1:10" x14ac:dyDescent="0.6">
      <c r="A163" s="9">
        <v>44743</v>
      </c>
      <c r="B163" s="13" t="e">
        <f>AVERAGE('[1]2022.07'!B$6:B$18)</f>
        <v>#DIV/0!</v>
      </c>
      <c r="C163" s="13" t="e">
        <f>AVERAGE('[1]2022.07'!B$25:B$37)</f>
        <v>#DIV/0!</v>
      </c>
      <c r="D163" s="13" t="e">
        <f>AVERAGE('[1]2022.07'!B$40:B$50)</f>
        <v>#DIV/0!</v>
      </c>
      <c r="E163" s="13" t="e">
        <f>AVERAGE('[1]2022.07'!B$51:B$56)</f>
        <v>#DIV/0!</v>
      </c>
      <c r="F163" s="13" t="e">
        <f>AVERAGE('[1]2022.07'!B$57:B$78)</f>
        <v>#DIV/0!</v>
      </c>
      <c r="G163" s="7" t="e">
        <f t="shared" si="4"/>
        <v>#DIV/0!</v>
      </c>
      <c r="I163" s="5">
        <v>2.25</v>
      </c>
      <c r="J163" s="8" t="e">
        <f t="shared" si="5"/>
        <v>#DIV/0!</v>
      </c>
    </row>
    <row r="164" spans="1:10" x14ac:dyDescent="0.6">
      <c r="A164" s="9">
        <v>44774</v>
      </c>
      <c r="B164" s="13" t="e">
        <f>AVERAGE('[1]2022.08'!B$6:B$18)</f>
        <v>#DIV/0!</v>
      </c>
      <c r="C164" s="13" t="e">
        <f>AVERAGE('[1]2022.08'!B$25:B$38)</f>
        <v>#DIV/0!</v>
      </c>
      <c r="D164" s="13" t="e">
        <f>AVERAGE('[1]2022.08'!B$40:B$50)</f>
        <v>#DIV/0!</v>
      </c>
      <c r="E164" s="13" t="e">
        <f>AVERAGE('[1]2022.08'!B$51:B$56)</f>
        <v>#DIV/0!</v>
      </c>
      <c r="F164" s="13" t="e">
        <f>AVERAGE('[1]2022.08'!B$57:B$78)</f>
        <v>#DIV/0!</v>
      </c>
      <c r="G164" s="7" t="e">
        <f t="shared" si="4"/>
        <v>#DIV/0!</v>
      </c>
      <c r="I164" s="5">
        <v>2.5</v>
      </c>
      <c r="J164" s="8" t="e">
        <f t="shared" si="5"/>
        <v>#DIV/0!</v>
      </c>
    </row>
    <row r="165" spans="1:10" x14ac:dyDescent="0.6">
      <c r="A165" s="9">
        <v>44805</v>
      </c>
      <c r="B165" s="13" t="e">
        <f>AVERAGE('[1]2022.09'!B$6:B$18)</f>
        <v>#DIV/0!</v>
      </c>
      <c r="C165" s="13" t="e">
        <f>AVERAGE('[1]2022.09'!B$25:B$38)</f>
        <v>#DIV/0!</v>
      </c>
      <c r="D165" s="13" t="e">
        <f>AVERAGE('[1]2022.09'!B$40:B$50)</f>
        <v>#DIV/0!</v>
      </c>
      <c r="E165" s="13" t="e">
        <f>AVERAGE('[1]2022.09'!B$51:B$56)</f>
        <v>#DIV/0!</v>
      </c>
      <c r="F165" s="13" t="e">
        <f>AVERAGE('[1]2022.09'!B$57:B$78)</f>
        <v>#DIV/0!</v>
      </c>
      <c r="G165" s="7" t="e">
        <f t="shared" si="4"/>
        <v>#DIV/0!</v>
      </c>
      <c r="I165" s="5">
        <v>2.5</v>
      </c>
      <c r="J165" s="8" t="e">
        <f t="shared" si="5"/>
        <v>#DIV/0!</v>
      </c>
    </row>
    <row r="166" spans="1:10" x14ac:dyDescent="0.6">
      <c r="A166" s="9">
        <v>44835</v>
      </c>
      <c r="B166" s="13" t="e">
        <f>AVERAGE('[1]2022.10'!B$6:B$18)</f>
        <v>#DIV/0!</v>
      </c>
      <c r="C166" s="13" t="e">
        <f>AVERAGE('[1]2022.10'!B$25:B$38)</f>
        <v>#DIV/0!</v>
      </c>
      <c r="D166" s="13" t="e">
        <f>AVERAGE('[1]2022.10'!B$40:B$50)</f>
        <v>#DIV/0!</v>
      </c>
      <c r="E166" s="13" t="e">
        <f>AVERAGE('[1]2022.10'!B$51:B$56)</f>
        <v>#DIV/0!</v>
      </c>
      <c r="F166" s="13" t="e">
        <f>AVERAGE('[1]2022.10'!B$57:B$78)</f>
        <v>#DIV/0!</v>
      </c>
      <c r="G166" s="7" t="e">
        <f t="shared" si="4"/>
        <v>#DIV/0!</v>
      </c>
      <c r="I166" s="5">
        <v>3</v>
      </c>
      <c r="J166" s="8" t="e">
        <f t="shared" si="5"/>
        <v>#DIV/0!</v>
      </c>
    </row>
    <row r="167" spans="1:10" x14ac:dyDescent="0.6">
      <c r="A167" s="9">
        <v>44866</v>
      </c>
      <c r="B167" s="13" t="e">
        <f>AVERAGE('[1]2022.11'!B$6:B$18)</f>
        <v>#DIV/0!</v>
      </c>
      <c r="C167" s="13" t="e">
        <f>AVERAGE('[1]2022.11'!B$25:B$38)</f>
        <v>#DIV/0!</v>
      </c>
      <c r="D167" s="13" t="e">
        <f>AVERAGE('[1]2022.11'!B$40:B$50)</f>
        <v>#DIV/0!</v>
      </c>
      <c r="E167" s="13" t="e">
        <f>AVERAGE('[1]2022.11'!B$51:B$56)</f>
        <v>#DIV/0!</v>
      </c>
      <c r="F167" s="13" t="e">
        <f>AVERAGE('[1]2022.11'!B$57:B$78)</f>
        <v>#DIV/0!</v>
      </c>
      <c r="G167" s="7" t="e">
        <f t="shared" si="4"/>
        <v>#DIV/0!</v>
      </c>
      <c r="I167" s="5">
        <v>3.25</v>
      </c>
      <c r="J167" s="8" t="e">
        <f t="shared" si="5"/>
        <v>#DIV/0!</v>
      </c>
    </row>
    <row r="168" spans="1:10" x14ac:dyDescent="0.6">
      <c r="A168" s="10">
        <v>44896</v>
      </c>
      <c r="B168" s="14" t="e">
        <f>AVERAGE('[1]2022.12'!B$6:B$18)</f>
        <v>#DIV/0!</v>
      </c>
      <c r="C168" s="14" t="e">
        <f>AVERAGE('[1]2022.12'!B$25:B$40)</f>
        <v>#DIV/0!</v>
      </c>
      <c r="D168" s="14" t="e">
        <f>AVERAGE('[1]2022.12'!B$43:B$53)</f>
        <v>#DIV/0!</v>
      </c>
      <c r="E168" s="14" t="e">
        <f>AVERAGE('[1]2022.12'!B$54:B$59)</f>
        <v>#DIV/0!</v>
      </c>
      <c r="F168" s="14" t="e">
        <f>AVERAGE('[1]2022.12'!B$61:B$82)</f>
        <v>#DIV/0!</v>
      </c>
      <c r="G168" s="11" t="e">
        <f t="shared" si="4"/>
        <v>#DIV/0!</v>
      </c>
      <c r="H168" s="12"/>
      <c r="I168" s="5">
        <v>3.25</v>
      </c>
      <c r="J168" s="8" t="e">
        <f t="shared" si="5"/>
        <v>#DIV/0!</v>
      </c>
    </row>
    <row r="169" spans="1:10" x14ac:dyDescent="0.6">
      <c r="A169" s="9">
        <v>44927</v>
      </c>
      <c r="B169" s="13" t="e">
        <f>AVERAGE('[1]2023.01'!B$6:B$18)</f>
        <v>#DIV/0!</v>
      </c>
      <c r="C169" s="13" t="e">
        <f>AVERAGE('[1]2023.01'!B$25:B$40)</f>
        <v>#DIV/0!</v>
      </c>
      <c r="D169" s="13" t="e">
        <f>AVERAGE('[1]2023.01'!B$43:B$50)</f>
        <v>#DIV/0!</v>
      </c>
      <c r="E169" s="13" t="e">
        <f>AVERAGE('[1]2023.01'!B$53:B$58)</f>
        <v>#DIV/0!</v>
      </c>
      <c r="F169" s="13" t="e">
        <f>AVERAGE('[1]2023.01'!B$60:B$81)</f>
        <v>#DIV/0!</v>
      </c>
      <c r="G169" s="7" t="e">
        <f t="shared" si="4"/>
        <v>#DIV/0!</v>
      </c>
      <c r="I169" s="5">
        <v>3.5</v>
      </c>
      <c r="J169" s="8" t="e">
        <f t="shared" si="5"/>
        <v>#DIV/0!</v>
      </c>
    </row>
    <row r="170" spans="1:10" x14ac:dyDescent="0.6">
      <c r="A170" s="9">
        <v>44958</v>
      </c>
      <c r="B170" s="13" t="e">
        <f>AVERAGE('[1]2023.02'!B$6:B$18)</f>
        <v>#DIV/0!</v>
      </c>
      <c r="C170" s="13" t="e">
        <f>AVERAGE('[1]2023.02'!B$25:B$40)</f>
        <v>#DIV/0!</v>
      </c>
      <c r="D170" s="13" t="e">
        <f>AVERAGE('[1]2023.02'!B$43:B$50)</f>
        <v>#DIV/0!</v>
      </c>
      <c r="E170" s="13" t="e">
        <f>AVERAGE('[1]2023.02'!B$53:B$57)</f>
        <v>#DIV/0!</v>
      </c>
      <c r="F170" s="13" t="e">
        <f>AVERAGE('[1]2023.02'!B$60:B$81)</f>
        <v>#DIV/0!</v>
      </c>
      <c r="G170" s="7" t="e">
        <f t="shared" si="4"/>
        <v>#DIV/0!</v>
      </c>
      <c r="I170" s="5">
        <v>3.5</v>
      </c>
      <c r="J170" s="8" t="e">
        <f t="shared" si="5"/>
        <v>#DIV/0!</v>
      </c>
    </row>
    <row r="171" spans="1:10" x14ac:dyDescent="0.6">
      <c r="A171" s="9">
        <v>44986</v>
      </c>
      <c r="B171" s="13" t="e">
        <f>AVERAGE('[1]2023.03'!B$6:B$18)</f>
        <v>#DIV/0!</v>
      </c>
      <c r="C171" s="13" t="e">
        <f>AVERAGE('[1]2023.03'!B$25:B$40)</f>
        <v>#DIV/0!</v>
      </c>
      <c r="D171" s="13" t="e">
        <f>AVERAGE('[1]2023.03'!B$43:B$50)</f>
        <v>#DIV/0!</v>
      </c>
      <c r="E171" s="13" t="e">
        <f>AVERAGE('[1]2023.03'!B$53:B$58)</f>
        <v>#DIV/0!</v>
      </c>
      <c r="F171" s="13" t="e">
        <f>AVERAGE('[1]2023.03'!B$60:B$81)</f>
        <v>#DIV/0!</v>
      </c>
      <c r="G171" s="7" t="e">
        <f t="shared" si="4"/>
        <v>#DIV/0!</v>
      </c>
      <c r="I171" s="5">
        <v>3.5</v>
      </c>
      <c r="J171" s="8" t="e">
        <f t="shared" si="5"/>
        <v>#DIV/0!</v>
      </c>
    </row>
    <row r="172" spans="1:10" x14ac:dyDescent="0.6">
      <c r="A172" s="9">
        <v>45017</v>
      </c>
      <c r="B172" s="13" t="e">
        <f>AVERAGE('[1]2023.04'!B$6:B$18)</f>
        <v>#DIV/0!</v>
      </c>
      <c r="C172" s="13" t="e">
        <f>AVERAGE('[1]2023.04'!B$19:B$35)</f>
        <v>#DIV/0!</v>
      </c>
      <c r="D172" s="13" t="e">
        <f>AVERAGE('[1]2023.04'!B$36:B$46)</f>
        <v>#DIV/0!</v>
      </c>
      <c r="E172" s="13" t="e">
        <f>AVERAGE('[1]2023.04'!B$47:B$52)</f>
        <v>#DIV/0!</v>
      </c>
      <c r="F172" s="13" t="e">
        <f>AVERAGE('[1]2023.04'!B$53:B$74)</f>
        <v>#DIV/0!</v>
      </c>
      <c r="G172" s="7" t="e">
        <f t="shared" si="4"/>
        <v>#DIV/0!</v>
      </c>
      <c r="I172" s="5">
        <v>3.5</v>
      </c>
      <c r="J172" s="8" t="e">
        <f t="shared" si="5"/>
        <v>#DIV/0!</v>
      </c>
    </row>
    <row r="173" spans="1:10" x14ac:dyDescent="0.6">
      <c r="A173" s="9">
        <v>45047</v>
      </c>
      <c r="B173" s="13" t="e">
        <f>AVERAGE('[1]2023.05'!B$6:B$18)</f>
        <v>#DIV/0!</v>
      </c>
      <c r="C173" s="13" t="e">
        <f>AVERAGE('[1]2023.05'!B$19:B$35)</f>
        <v>#DIV/0!</v>
      </c>
      <c r="D173" s="13" t="e">
        <f>AVERAGE('[1]2023.05'!B$36:B$46)</f>
        <v>#DIV/0!</v>
      </c>
      <c r="E173" s="13" t="e">
        <f>AVERAGE('[1]2023.05'!B$47:B$52)</f>
        <v>#DIV/0!</v>
      </c>
      <c r="F173" s="13" t="e">
        <f>AVERAGE('[1]2023.05'!B$53:B$74)</f>
        <v>#DIV/0!</v>
      </c>
      <c r="G173" s="7" t="e">
        <f t="shared" si="4"/>
        <v>#DIV/0!</v>
      </c>
      <c r="I173" s="5">
        <v>3.5</v>
      </c>
      <c r="J173" s="8" t="e">
        <f t="shared" si="5"/>
        <v>#DIV/0!</v>
      </c>
    </row>
    <row r="174" spans="1:10" x14ac:dyDescent="0.6">
      <c r="A174" s="9">
        <v>45078</v>
      </c>
      <c r="B174" s="13" t="e">
        <f>AVERAGE('[1]2023.06'!B$6:B$18)</f>
        <v>#DIV/0!</v>
      </c>
      <c r="C174" s="13" t="e">
        <f>AVERAGE('[1]2023.06'!B$19:B$35)</f>
        <v>#DIV/0!</v>
      </c>
      <c r="D174" s="13" t="e">
        <f>AVERAGE('[1]2023.06'!B$36:B$46)</f>
        <v>#DIV/0!</v>
      </c>
      <c r="E174" s="13" t="e">
        <f>AVERAGE('[1]2023.06'!B$47:B$52)</f>
        <v>#DIV/0!</v>
      </c>
      <c r="F174" s="13" t="e">
        <f>AVERAGE('[1]2023.06'!B$53:B$74)</f>
        <v>#DIV/0!</v>
      </c>
      <c r="G174" s="7" t="e">
        <f t="shared" si="4"/>
        <v>#DIV/0!</v>
      </c>
      <c r="I174" s="5">
        <v>3.5</v>
      </c>
      <c r="J174" s="8" t="e">
        <f t="shared" si="5"/>
        <v>#DIV/0!</v>
      </c>
    </row>
    <row r="175" spans="1:10" x14ac:dyDescent="0.6">
      <c r="A175" s="9">
        <v>45108</v>
      </c>
      <c r="B175" s="13" t="e">
        <f>AVERAGE('[1]2023.07'!B$6:B$18)</f>
        <v>#DIV/0!</v>
      </c>
      <c r="C175" s="13" t="e">
        <f>AVERAGE('[1]2023.07'!B$19:B$35)</f>
        <v>#DIV/0!</v>
      </c>
      <c r="D175" s="13" t="e">
        <f>AVERAGE('[1]2023.07'!B$36:B$45)</f>
        <v>#DIV/0!</v>
      </c>
      <c r="E175" s="13" t="e">
        <f>AVERAGE('[1]2023.07'!B$47:B$52)</f>
        <v>#DIV/0!</v>
      </c>
      <c r="F175" s="13" t="e">
        <f>AVERAGE('[1]2023.07'!B$53:B$74)</f>
        <v>#DIV/0!</v>
      </c>
      <c r="G175" s="7" t="e">
        <f t="shared" si="4"/>
        <v>#DIV/0!</v>
      </c>
      <c r="I175" s="5">
        <v>3.5</v>
      </c>
      <c r="J175" s="8" t="e">
        <f t="shared" si="5"/>
        <v>#DIV/0!</v>
      </c>
    </row>
    <row r="176" spans="1:10" x14ac:dyDescent="0.6">
      <c r="A176" s="9">
        <v>45139</v>
      </c>
      <c r="B176" s="13" t="e">
        <f>AVERAGE('[1]2023.08'!B$6:B$18)</f>
        <v>#DIV/0!</v>
      </c>
      <c r="C176" s="13" t="e">
        <f>AVERAGE('[1]2023.08'!B$19:B$35)</f>
        <v>#DIV/0!</v>
      </c>
      <c r="D176" s="13" t="e">
        <f>AVERAGE('[1]2023.08'!B$36:B$45)</f>
        <v>#DIV/0!</v>
      </c>
      <c r="E176" s="13" t="e">
        <f>AVERAGE('[1]2023.08'!B$47:B$52)</f>
        <v>#DIV/0!</v>
      </c>
      <c r="F176" s="13" t="e">
        <f>AVERAGE('[1]2023.08'!B$53:B$74)</f>
        <v>#DIV/0!</v>
      </c>
      <c r="G176" s="7" t="e">
        <f t="shared" si="4"/>
        <v>#DIV/0!</v>
      </c>
      <c r="I176" s="5">
        <v>3.5</v>
      </c>
      <c r="J176" s="8" t="e">
        <f t="shared" si="5"/>
        <v>#DIV/0!</v>
      </c>
    </row>
    <row r="177" spans="1:10" x14ac:dyDescent="0.6">
      <c r="A177" s="9">
        <v>45170</v>
      </c>
      <c r="B177" s="13" t="e">
        <f>AVERAGE('[1]2023.09'!B$6:B$18)</f>
        <v>#DIV/0!</v>
      </c>
      <c r="C177" s="13" t="e">
        <f>AVERAGE('[1]2023.09'!B$19:B$35)</f>
        <v>#DIV/0!</v>
      </c>
      <c r="D177" s="13" t="e">
        <f>AVERAGE('[1]2023.09'!B$36:B$45)</f>
        <v>#DIV/0!</v>
      </c>
      <c r="E177" s="13" t="e">
        <f>AVERAGE('[1]2023.09'!B$48:B$53)</f>
        <v>#DIV/0!</v>
      </c>
      <c r="F177" s="13" t="e">
        <f>AVERAGE('[1]2023.09'!B$53:B$74)</f>
        <v>#DIV/0!</v>
      </c>
      <c r="G177" s="7" t="e">
        <f t="shared" si="4"/>
        <v>#DIV/0!</v>
      </c>
      <c r="I177" s="5">
        <v>3.5</v>
      </c>
      <c r="J177" s="8" t="e">
        <f t="shared" si="5"/>
        <v>#DIV/0!</v>
      </c>
    </row>
    <row r="178" spans="1:10" x14ac:dyDescent="0.6">
      <c r="A178" s="9">
        <v>45200</v>
      </c>
      <c r="B178" s="13" t="e">
        <f>AVERAGE('[1]2023.10'!B$6:B$18)</f>
        <v>#DIV/0!</v>
      </c>
      <c r="C178" s="13" t="e">
        <f>AVERAGE('[1]2023.10'!B$19:B$35)</f>
        <v>#DIV/0!</v>
      </c>
      <c r="D178" s="13" t="e">
        <f>AVERAGE('[1]2023.10'!B$36:B$46)</f>
        <v>#DIV/0!</v>
      </c>
      <c r="E178" s="13" t="e">
        <f>AVERAGE('[1]2023.10'!B$48:B$53)</f>
        <v>#DIV/0!</v>
      </c>
      <c r="F178" s="13" t="e">
        <f>AVERAGE('[1]2023.10'!B$54:B$75)</f>
        <v>#DIV/0!</v>
      </c>
      <c r="G178" s="7" t="e">
        <f t="shared" si="4"/>
        <v>#DIV/0!</v>
      </c>
      <c r="I178" s="5">
        <v>3.5</v>
      </c>
      <c r="J178" s="8" t="e">
        <f t="shared" si="5"/>
        <v>#DIV/0!</v>
      </c>
    </row>
    <row r="179" spans="1:10" x14ac:dyDescent="0.6">
      <c r="A179" s="9">
        <v>45231</v>
      </c>
      <c r="B179" s="13" t="e">
        <f>AVERAGE('[1]2023.11'!D$11:D$37)</f>
        <v>#DIV/0!</v>
      </c>
      <c r="C179" s="13" t="e">
        <f>AVERAGE('[1]2023.11'!B$38:B$54)</f>
        <v>#DIV/0!</v>
      </c>
      <c r="D179" s="13" t="e">
        <f>AVERAGE('[1]2023.11'!D$55:D$64)</f>
        <v>#DIV/0!</v>
      </c>
      <c r="E179" s="13" t="e">
        <f>AVERAGE('[1]2023.11'!D$65:D$73)</f>
        <v>#DIV/0!</v>
      </c>
      <c r="F179" s="13" t="e">
        <f>AVERAGE('[1]2023.11'!D$74:D$95)</f>
        <v>#DIV/0!</v>
      </c>
      <c r="G179" s="7" t="e">
        <f t="shared" si="4"/>
        <v>#DIV/0!</v>
      </c>
      <c r="I179" s="5">
        <v>3.5</v>
      </c>
      <c r="J179" s="8" t="e">
        <f t="shared" si="5"/>
        <v>#DIV/0!</v>
      </c>
    </row>
    <row r="180" spans="1:10" x14ac:dyDescent="0.6">
      <c r="A180" s="10">
        <v>45261</v>
      </c>
      <c r="B180" s="14" t="e">
        <f>AVERAGE('[1]2023.12'!E$11:E$32)</f>
        <v>#DIV/0!</v>
      </c>
      <c r="C180" s="14" t="e">
        <f>AVERAGE('[1]2023.12'!E$33:E$49)</f>
        <v>#DIV/0!</v>
      </c>
      <c r="D180" s="14" t="e">
        <f>AVERAGE('[1]2023.12'!E$50:E$60)</f>
        <v>#DIV/0!</v>
      </c>
      <c r="E180" s="14" t="e">
        <f>AVERAGE('[1]2023.12'!E$61:E$78)</f>
        <v>#DIV/0!</v>
      </c>
      <c r="F180" s="14" t="e">
        <f>AVERAGE('[1]2023.12'!E$69:E$90)</f>
        <v>#DIV/0!</v>
      </c>
      <c r="G180" s="11" t="e">
        <f t="shared" si="4"/>
        <v>#DIV/0!</v>
      </c>
      <c r="H180" s="12"/>
      <c r="I180" s="5">
        <v>3.5</v>
      </c>
      <c r="J180" s="8" t="e">
        <f t="shared" si="5"/>
        <v>#DIV/0!</v>
      </c>
    </row>
    <row r="181" spans="1:10" x14ac:dyDescent="0.6">
      <c r="A181" s="9">
        <v>45292</v>
      </c>
      <c r="B181" s="13" t="e">
        <f>AVERAGE('[1]2024.01'!F$11:F$31)</f>
        <v>#DIV/0!</v>
      </c>
      <c r="C181" s="13" t="e">
        <f>AVERAGE('[1]2024.01'!F$32:F$48)</f>
        <v>#DIV/0!</v>
      </c>
      <c r="D181" s="13" t="e">
        <f>AVERAGE('[1]2024.01'!F$49:F$59)</f>
        <v>#DIV/0!</v>
      </c>
      <c r="E181" s="13" t="e">
        <f>AVERAGE('[1]2024.01'!F$62:F$67)</f>
        <v>#DIV/0!</v>
      </c>
      <c r="F181" s="13" t="e">
        <f>AVERAGE('[1]2024.01'!F$68:F$89)</f>
        <v>#DIV/0!</v>
      </c>
      <c r="G181" s="7" t="e">
        <f t="shared" si="4"/>
        <v>#DIV/0!</v>
      </c>
      <c r="I181" s="5">
        <v>3.5</v>
      </c>
      <c r="J181" s="8" t="e">
        <f t="shared" si="5"/>
        <v>#DIV/0!</v>
      </c>
    </row>
    <row r="182" spans="1:10" x14ac:dyDescent="0.6">
      <c r="A182" s="9">
        <v>45323</v>
      </c>
      <c r="B182" s="13" t="e">
        <f>AVERAGE('[1]2024.02'!F$11:F$32)</f>
        <v>#DIV/0!</v>
      </c>
      <c r="C182" s="13" t="e">
        <f>AVERAGE('[1]2024.02'!F$33:F$49)</f>
        <v>#DIV/0!</v>
      </c>
      <c r="D182" s="13" t="e">
        <f>AVERAGE('[1]2024.02'!F$50:F$60)</f>
        <v>#DIV/0!</v>
      </c>
      <c r="E182" s="13" t="e">
        <f>AVERAGE('[1]2024.02'!F$61:F$68)</f>
        <v>#DIV/0!</v>
      </c>
      <c r="F182" s="13" t="e">
        <f>AVERAGE('[1]2024.02'!F$69:F$90)</f>
        <v>#DIV/0!</v>
      </c>
      <c r="G182" s="7" t="e">
        <f t="shared" si="4"/>
        <v>#DIV/0!</v>
      </c>
      <c r="I182" s="5">
        <v>3.5</v>
      </c>
      <c r="J182" s="8" t="e">
        <f t="shared" si="5"/>
        <v>#DIV/0!</v>
      </c>
    </row>
    <row r="183" spans="1:10" x14ac:dyDescent="0.6">
      <c r="A183" s="9">
        <v>45352</v>
      </c>
      <c r="B183" s="13" t="e">
        <f>AVERAGE('[1]2024.03'!F$11:F$32)</f>
        <v>#DIV/0!</v>
      </c>
      <c r="C183" s="13" t="e">
        <f>AVERAGE('[1]2024.03'!F$33:F$49)</f>
        <v>#DIV/0!</v>
      </c>
      <c r="D183" s="13" t="e">
        <f>AVERAGE('[1]2024.03'!F$50:F$60)</f>
        <v>#DIV/0!</v>
      </c>
      <c r="E183" s="13" t="e">
        <f>AVERAGE('[1]2024.03'!F$61:F$68)</f>
        <v>#DIV/0!</v>
      </c>
      <c r="F183" s="13" t="e">
        <f>AVERAGE('[1]2024.03'!F$69:F$90)</f>
        <v>#DIV/0!</v>
      </c>
      <c r="G183" s="7" t="e">
        <f t="shared" si="4"/>
        <v>#DIV/0!</v>
      </c>
      <c r="I183" s="5">
        <v>3.5</v>
      </c>
      <c r="J183" s="8" t="e">
        <f t="shared" si="5"/>
        <v>#DIV/0!</v>
      </c>
    </row>
    <row r="184" spans="1:10" x14ac:dyDescent="0.6">
      <c r="A184" s="9">
        <v>45383</v>
      </c>
      <c r="B184" s="13" t="e">
        <f>AVERAGE('[1]2024.04'!F$11:F$32)</f>
        <v>#DIV/0!</v>
      </c>
      <c r="C184" s="13" t="e">
        <f>AVERAGE('[1]2024.04'!F$33:F$49)</f>
        <v>#DIV/0!</v>
      </c>
      <c r="D184" s="13" t="e">
        <f>AVERAGE('[1]2024.04'!F$50:F$59)</f>
        <v>#DIV/0!</v>
      </c>
      <c r="E184" s="13" t="e">
        <f>AVERAGE('[1]2024.04'!F$60:F$66)</f>
        <v>#DIV/0!</v>
      </c>
      <c r="F184" s="13" t="e">
        <f>AVERAGE('[1]2024.04'!F$67:F$88)</f>
        <v>#DIV/0!</v>
      </c>
      <c r="G184" s="7" t="e">
        <f t="shared" si="4"/>
        <v>#DIV/0!</v>
      </c>
      <c r="I184" s="5">
        <v>3.5</v>
      </c>
      <c r="J184" s="8" t="e">
        <f t="shared" si="5"/>
        <v>#DIV/0!</v>
      </c>
    </row>
    <row r="185" spans="1:10" x14ac:dyDescent="0.6">
      <c r="A185" s="9">
        <v>45413</v>
      </c>
      <c r="B185" s="13" t="e">
        <f>AVERAGE('[1]2024.05'!F$11:F$32)</f>
        <v>#DIV/0!</v>
      </c>
      <c r="C185" s="13" t="e">
        <f>AVERAGE('[1]2024.05'!F$33:F$49)</f>
        <v>#DIV/0!</v>
      </c>
      <c r="D185" s="13" t="e">
        <f>AVERAGE('[1]2024.05'!F$50:F$60)</f>
        <v>#DIV/0!</v>
      </c>
      <c r="E185" s="13" t="e">
        <f>AVERAGE('[1]2024.05'!F$61:F$67)</f>
        <v>#DIV/0!</v>
      </c>
      <c r="F185" s="13" t="e">
        <f>AVERAGE('[1]2024.05'!F$68:F$89)</f>
        <v>#DIV/0!</v>
      </c>
      <c r="G185" s="7" t="e">
        <f t="shared" si="4"/>
        <v>#DIV/0!</v>
      </c>
      <c r="I185" s="5">
        <v>3.5</v>
      </c>
      <c r="J185" s="8" t="e">
        <f t="shared" si="5"/>
        <v>#DIV/0!</v>
      </c>
    </row>
    <row r="186" spans="1:10" x14ac:dyDescent="0.6">
      <c r="A186" s="9">
        <v>45444</v>
      </c>
      <c r="B186" s="13" t="e">
        <f>AVERAGE('[1]2024.06'!E$11:E$31)</f>
        <v>#DIV/0!</v>
      </c>
      <c r="C186" s="13" t="e">
        <f>AVERAGE('[1]2024.06'!E$33:E$49)</f>
        <v>#DIV/0!</v>
      </c>
      <c r="D186" s="13" t="e">
        <f>AVERAGE('[1]2024.06'!E$50:E$60)</f>
        <v>#DIV/0!</v>
      </c>
      <c r="E186" s="13" t="e">
        <f>AVERAGE('[1]2024.06'!E$61:E$67)</f>
        <v>#DIV/0!</v>
      </c>
      <c r="F186" s="13" t="e">
        <f>AVERAGE('[1]2024.06'!E$68:E$89)</f>
        <v>#DIV/0!</v>
      </c>
      <c r="G186" s="7" t="e">
        <f t="shared" si="4"/>
        <v>#DIV/0!</v>
      </c>
      <c r="I186" s="5">
        <v>3.5</v>
      </c>
      <c r="J186" s="8" t="e">
        <f t="shared" si="5"/>
        <v>#DIV/0!</v>
      </c>
    </row>
    <row r="187" spans="1:10" x14ac:dyDescent="0.6">
      <c r="A187" s="9">
        <v>45474</v>
      </c>
      <c r="B187" s="13" t="e">
        <f>AVERAGE('[1]2024.07'!E$11:E$32)</f>
        <v>#DIV/0!</v>
      </c>
      <c r="C187" s="13" t="e">
        <f>AVERAGE('[1]2024.07'!E$33:E$49)</f>
        <v>#DIV/0!</v>
      </c>
      <c r="D187" s="13" t="e">
        <f>AVERAGE('[1]2024.07'!E$50:E$60)</f>
        <v>#DIV/0!</v>
      </c>
      <c r="E187" s="13" t="e">
        <f>AVERAGE('[1]2024.07'!E$61:E$67)</f>
        <v>#DIV/0!</v>
      </c>
      <c r="F187" s="13" t="e">
        <f>AVERAGE('[1]2024.07'!E$68:E$89)</f>
        <v>#DIV/0!</v>
      </c>
      <c r="G187" s="7" t="e">
        <f t="shared" si="4"/>
        <v>#DIV/0!</v>
      </c>
      <c r="I187" s="5">
        <v>3.5</v>
      </c>
      <c r="J187" s="8" t="e">
        <f t="shared" si="5"/>
        <v>#DIV/0!</v>
      </c>
    </row>
    <row r="188" spans="1:10" x14ac:dyDescent="0.6">
      <c r="A188" s="9">
        <v>45505</v>
      </c>
      <c r="B188" s="13" t="e">
        <f>AVERAGE('[1]2024.08'!E$11:E$32)</f>
        <v>#DIV/0!</v>
      </c>
      <c r="C188" s="13" t="e">
        <f>AVERAGE('[1]2024.08'!E$33:E$49)</f>
        <v>#DIV/0!</v>
      </c>
      <c r="D188" s="13" t="e">
        <f>AVERAGE('[1]2024.08'!E$50:E$60)</f>
        <v>#DIV/0!</v>
      </c>
      <c r="E188" s="13" t="e">
        <f>AVERAGE('[1]2024.08'!E$61:E$67)</f>
        <v>#DIV/0!</v>
      </c>
      <c r="F188" s="13" t="e">
        <f>AVERAGE('[1]2024.08'!E$68:E$89)</f>
        <v>#DIV/0!</v>
      </c>
      <c r="G188" s="7" t="e">
        <f t="shared" si="4"/>
        <v>#DIV/0!</v>
      </c>
      <c r="I188" s="5">
        <v>3.5</v>
      </c>
      <c r="J188" s="8" t="e">
        <f t="shared" si="5"/>
        <v>#DIV/0!</v>
      </c>
    </row>
    <row r="189" spans="1:10" x14ac:dyDescent="0.6">
      <c r="A189" s="9">
        <v>45536</v>
      </c>
      <c r="B189" s="13" t="e">
        <f>AVERAGE('[1]2024.09'!E$11:E$32)</f>
        <v>#DIV/0!</v>
      </c>
      <c r="C189" s="13" t="e">
        <f>AVERAGE('[1]2024.09'!E$33:E$49)</f>
        <v>#DIV/0!</v>
      </c>
      <c r="D189" s="13" t="e">
        <f>AVERAGE('[1]2024.09'!E$50:E$60)</f>
        <v>#DIV/0!</v>
      </c>
      <c r="E189" s="13" t="e">
        <f>AVERAGE('[1]2024.09'!E$61:E$67)</f>
        <v>#DIV/0!</v>
      </c>
      <c r="F189" s="13" t="e">
        <f>AVERAGE('[1]2024.09'!E$68:E$89)</f>
        <v>#DIV/0!</v>
      </c>
      <c r="G189" s="7" t="e">
        <f t="shared" si="4"/>
        <v>#DIV/0!</v>
      </c>
      <c r="I189" s="5">
        <v>3.5</v>
      </c>
      <c r="J189" s="8" t="e">
        <f t="shared" si="5"/>
        <v>#DIV/0!</v>
      </c>
    </row>
    <row r="190" spans="1:10" x14ac:dyDescent="0.6">
      <c r="A190" s="9">
        <v>45566</v>
      </c>
      <c r="B190" s="13" t="e">
        <f>AVERAGE('[1]2024.10'!E$11:E$32)</f>
        <v>#DIV/0!</v>
      </c>
      <c r="C190" s="13" t="e">
        <f>AVERAGE('[1]2024.10'!E$33:E$49)</f>
        <v>#DIV/0!</v>
      </c>
      <c r="D190" s="13" t="e">
        <f>AVERAGE('[1]2024.10'!E$50:E$60)</f>
        <v>#DIV/0!</v>
      </c>
      <c r="E190" s="13" t="e">
        <f>AVERAGE('[1]2024.10'!E$61:E$67)</f>
        <v>#DIV/0!</v>
      </c>
      <c r="F190" s="13" t="e">
        <f>AVERAGE('[1]2024.10'!E$68:E$88)</f>
        <v>#DIV/0!</v>
      </c>
      <c r="G190" s="7" t="e">
        <f t="shared" si="4"/>
        <v>#DIV/0!</v>
      </c>
      <c r="I190" s="5">
        <v>3.25</v>
      </c>
      <c r="J190" s="8" t="e">
        <f t="shared" si="5"/>
        <v>#DIV/0!</v>
      </c>
    </row>
    <row r="191" spans="1:10" x14ac:dyDescent="0.6">
      <c r="A191" s="9">
        <v>45597</v>
      </c>
      <c r="B191" s="13" t="e">
        <f>AVERAGE('[1]2024.11'!E$11:E$32)</f>
        <v>#DIV/0!</v>
      </c>
      <c r="C191" s="13" t="e">
        <f>AVERAGE('[1]2024.11'!E$33:E$49)</f>
        <v>#DIV/0!</v>
      </c>
      <c r="D191" s="13" t="e">
        <f>AVERAGE('[1]2024.11'!E$50:E$60)</f>
        <v>#DIV/0!</v>
      </c>
      <c r="E191" s="13" t="e">
        <f>AVERAGE('[1]2024.11'!E$61:E$67)</f>
        <v>#DIV/0!</v>
      </c>
      <c r="F191" s="13" t="e">
        <f>AVERAGE('[1]2024.11'!E$68:E$89)</f>
        <v>#DIV/0!</v>
      </c>
      <c r="G191" s="7" t="e">
        <f t="shared" si="4"/>
        <v>#DIV/0!</v>
      </c>
      <c r="I191" s="5">
        <v>3.25</v>
      </c>
      <c r="J191" s="8" t="e">
        <f t="shared" si="5"/>
        <v>#DIV/0!</v>
      </c>
    </row>
    <row r="192" spans="1:10" x14ac:dyDescent="0.6">
      <c r="A192" s="9">
        <v>45627</v>
      </c>
      <c r="B192" s="13" t="e">
        <f>AVERAGE('[1]2024.12'!E$11:E$34)</f>
        <v>#DIV/0!</v>
      </c>
      <c r="C192" s="13" t="e">
        <f>AVERAGE('[1]2024.12'!E$35:E$51)</f>
        <v>#DIV/0!</v>
      </c>
      <c r="D192" s="13" t="e">
        <f>AVERAGE('[1]2024.12'!E$52:E$63)</f>
        <v>#DIV/0!</v>
      </c>
      <c r="E192" s="13" t="e">
        <f>AVERAGE('[1]2024.12'!E$64:E$71)</f>
        <v>#DIV/0!</v>
      </c>
      <c r="F192" s="13" t="e">
        <f>AVERAGE('[1]2024.12'!E$72:E$93)</f>
        <v>#DIV/0!</v>
      </c>
      <c r="G192" s="7" t="e">
        <f>AVERAGE(B192:E192)</f>
        <v>#DIV/0!</v>
      </c>
      <c r="I192" s="15">
        <v>3</v>
      </c>
      <c r="J192" s="8" t="e">
        <f t="shared" si="5"/>
        <v>#DIV/0!</v>
      </c>
    </row>
    <row r="193" spans="1:10" x14ac:dyDescent="0.6">
      <c r="A193" s="9">
        <v>45658</v>
      </c>
      <c r="B193" s="13" t="e">
        <f>AVERAGE('[1]2025.01'!E$11:E$33)</f>
        <v>#DIV/0!</v>
      </c>
      <c r="C193" s="13" t="e">
        <f>AVERAGE('[1]2025.01'!E$34:E$50)</f>
        <v>#DIV/0!</v>
      </c>
      <c r="D193" s="13" t="e">
        <f>AVERAGE('[1]2025.01'!E$51:E$62)</f>
        <v>#DIV/0!</v>
      </c>
      <c r="E193" s="13" t="e">
        <f>AVERAGE('[1]2025.01'!E$63:E$69)</f>
        <v>#DIV/0!</v>
      </c>
      <c r="F193" s="13" t="e">
        <f>AVERAGE('[1]2025.01'!E$70:E$91)</f>
        <v>#DIV/0!</v>
      </c>
      <c r="G193" s="7" t="e">
        <f>AVERAGE(B193:E193)</f>
        <v>#DIV/0!</v>
      </c>
      <c r="I193" s="15">
        <v>3</v>
      </c>
      <c r="J193" s="8" t="e">
        <f t="shared" si="5"/>
        <v>#DIV/0!</v>
      </c>
    </row>
    <row r="194" spans="1:10" x14ac:dyDescent="0.35">
      <c r="A194" s="9">
        <v>45689</v>
      </c>
      <c r="B194" s="13">
        <v>3.0926086956521739</v>
      </c>
      <c r="C194" s="13">
        <v>2.8594117647058823</v>
      </c>
      <c r="D194" s="13">
        <v>2.8958333333333335</v>
      </c>
      <c r="E194" s="13">
        <v>2.89</v>
      </c>
      <c r="F194" s="13">
        <v>3.228181818181818</v>
      </c>
      <c r="G194" s="13">
        <v>2.9932071223746419</v>
      </c>
      <c r="I194" s="5">
        <v>2.75</v>
      </c>
      <c r="J194" s="8">
        <f t="shared" si="5"/>
        <v>0.34260869565217389</v>
      </c>
    </row>
    <row r="195" spans="1:10" x14ac:dyDescent="0.35">
      <c r="A195" s="9">
        <v>45717</v>
      </c>
      <c r="B195" s="13">
        <v>3.0009090909090905</v>
      </c>
      <c r="C195" s="13">
        <v>2.7652941176470591</v>
      </c>
      <c r="D195" s="13">
        <v>2.855</v>
      </c>
      <c r="E195" s="13">
        <v>2.8557142857142859</v>
      </c>
      <c r="F195" s="13">
        <v>3.0485714285714285</v>
      </c>
      <c r="G195" s="13">
        <v>2.9050977845683725</v>
      </c>
      <c r="I195" s="5">
        <v>2.75</v>
      </c>
      <c r="J195" s="8">
        <f t="shared" si="5"/>
        <v>0.25090909090909053</v>
      </c>
    </row>
    <row r="196" spans="1:10" x14ac:dyDescent="0.35">
      <c r="A196" s="9">
        <v>45748</v>
      </c>
      <c r="B196" s="13">
        <v>3.0123809523809522</v>
      </c>
      <c r="C196" s="13">
        <v>2.7370588235294124</v>
      </c>
      <c r="D196" s="13">
        <v>2.8016666666666663</v>
      </c>
      <c r="E196" s="13">
        <v>2.8228571428571425</v>
      </c>
      <c r="F196" s="13">
        <v>3.0100000000000002</v>
      </c>
      <c r="G196" s="13">
        <v>2.8767927170868344</v>
      </c>
      <c r="I196" s="5">
        <v>2.75</v>
      </c>
      <c r="J196" s="15">
        <f t="shared" si="5"/>
        <v>0.26238095238095216</v>
      </c>
    </row>
    <row r="197" spans="1:10" x14ac:dyDescent="0.35">
      <c r="A197" s="9">
        <v>45778</v>
      </c>
      <c r="B197" s="13">
        <f>[1]농협제공시트!B39</f>
        <v>0</v>
      </c>
      <c r="C197" s="13">
        <f>[1]농협제공시트!C39</f>
        <v>0</v>
      </c>
      <c r="D197" s="13">
        <f>[1]농협제공시트!D39</f>
        <v>0</v>
      </c>
      <c r="E197" s="13">
        <f>[1]농협제공시트!E39</f>
        <v>0</v>
      </c>
      <c r="F197" s="13">
        <f>[1]농협제공시트!F39</f>
        <v>0</v>
      </c>
      <c r="G197" s="13">
        <f>[1]농협제공시트!G39</f>
        <v>0</v>
      </c>
      <c r="I197" s="5">
        <v>2.75</v>
      </c>
      <c r="J197" s="15">
        <f t="shared" si="5"/>
        <v>-2.75</v>
      </c>
    </row>
    <row r="198" spans="1:10" x14ac:dyDescent="0.35">
      <c r="A198" s="9">
        <v>45809</v>
      </c>
      <c r="B198" s="13">
        <v>2.83</v>
      </c>
      <c r="C198" s="13">
        <v>2.44</v>
      </c>
      <c r="D198" s="13">
        <v>2.65</v>
      </c>
      <c r="E198" s="13">
        <v>2.69</v>
      </c>
      <c r="F198" s="13">
        <v>3.09</v>
      </c>
      <c r="G198" s="13">
        <v>2.7399999999999998</v>
      </c>
      <c r="I198" s="15">
        <v>2.5</v>
      </c>
      <c r="J198" s="15">
        <f t="shared" si="5"/>
        <v>0.33000000000000007</v>
      </c>
    </row>
    <row r="199" spans="1:10" x14ac:dyDescent="0.6">
      <c r="A199" s="9">
        <v>45839</v>
      </c>
      <c r="B199" s="13" t="e">
        <f>AVERAGE('[1]2025.07'!E$11:E$32)</f>
        <v>#DIV/0!</v>
      </c>
      <c r="C199" s="13" t="e">
        <f>AVERAGE('[1]2025.07'!E$33:E$49)</f>
        <v>#DIV/0!</v>
      </c>
      <c r="D199" s="13" t="e">
        <f>AVERAGE('[1]2025.07'!E$50:E$61)</f>
        <v>#DIV/0!</v>
      </c>
      <c r="E199" s="13" t="e">
        <f>AVERAGE('[1]2025.07'!E$62:E$68)</f>
        <v>#DIV/0!</v>
      </c>
      <c r="F199" s="13" t="e">
        <f>AVERAGE('[1]2025.07'!E$69:E$88)</f>
        <v>#DIV/0!</v>
      </c>
      <c r="G199" s="7" t="e">
        <f>AVERAGE(B199:E199)</f>
        <v>#DIV/0!</v>
      </c>
      <c r="I199" s="16">
        <v>2.5</v>
      </c>
      <c r="J199" s="15" t="e">
        <f>+G199-I199</f>
        <v>#DIV/0!</v>
      </c>
    </row>
    <row r="200" spans="1:10" x14ac:dyDescent="0.6">
      <c r="A200" s="9">
        <v>45870</v>
      </c>
      <c r="B200" s="13" t="e">
        <f>AVERAGE('[1]2025.08'!E$11:E$32)</f>
        <v>#DIV/0!</v>
      </c>
      <c r="C200" s="13" t="e">
        <f>AVERAGE('[1]2025.08'!E$33:E$49)</f>
        <v>#DIV/0!</v>
      </c>
      <c r="D200" s="13" t="e">
        <f>AVERAGE('[1]2025.08'!E$50:E$61)</f>
        <v>#DIV/0!</v>
      </c>
      <c r="E200" s="13" t="e">
        <f>AVERAGE('[1]2025.08'!E$62:E$68)</f>
        <v>#DIV/0!</v>
      </c>
      <c r="F200" s="13" t="e">
        <f>AVERAGE('[1]2025.08'!E$69:E$89)</f>
        <v>#DIV/0!</v>
      </c>
      <c r="G200" s="7" t="e">
        <f>AVERAGE(B200:E200)</f>
        <v>#DIV/0!</v>
      </c>
      <c r="I200" s="16">
        <v>2.5</v>
      </c>
      <c r="J200" s="15" t="e">
        <f>+G200-I200</f>
        <v>#DIV/0!</v>
      </c>
    </row>
    <row r="201" spans="1:10" x14ac:dyDescent="0.6">
      <c r="A201" s="9">
        <v>45901</v>
      </c>
      <c r="B201" s="13" t="e">
        <f>AVERAGE('[1]2025.09'!E$11:E$32)</f>
        <v>#DIV/0!</v>
      </c>
      <c r="C201" s="13" t="e">
        <f>AVERAGE('[1]2025.09'!E$33:E$49)</f>
        <v>#DIV/0!</v>
      </c>
      <c r="D201" s="13" t="e">
        <f>AVERAGE('[1]2025.09'!E$50:E$61)</f>
        <v>#DIV/0!</v>
      </c>
      <c r="E201" s="13" t="e">
        <f>AVERAGE('[1]2025.09'!E$62:E$68)</f>
        <v>#DIV/0!</v>
      </c>
      <c r="F201" s="13" t="e">
        <f>AVERAGE('[1]2025.09'!E$69:E$89)</f>
        <v>#DIV/0!</v>
      </c>
      <c r="G201" s="7" t="e">
        <f>AVERAGE(B201:E201)</f>
        <v>#DIV/0!</v>
      </c>
      <c r="H201"/>
      <c r="I201" s="17">
        <v>2.5</v>
      </c>
      <c r="J201" s="15" t="e">
        <f>+G201-I201</f>
        <v>#DIV/0!</v>
      </c>
    </row>
    <row r="202" spans="1:10" x14ac:dyDescent="0.6">
      <c r="A202" s="18">
        <v>45931</v>
      </c>
      <c r="B202" s="13" t="e">
        <f>AVERAGE('[1]2025.10'!E$11:E$32)</f>
        <v>#DIV/0!</v>
      </c>
      <c r="C202" s="13" t="e">
        <f>AVERAGE('[1]2025.09'!E$33:E$49)</f>
        <v>#DIV/0!</v>
      </c>
      <c r="D202" s="13" t="e">
        <f>AVERAGE('[1]2025.09'!E$50:E$62)</f>
        <v>#DIV/0!</v>
      </c>
      <c r="E202" s="13" t="e">
        <f>AVERAGE('[1]2025.09'!E$63:E$69)</f>
        <v>#DIV/0!</v>
      </c>
      <c r="F202" s="13" t="e">
        <f>AVERAGE('[1]2025.09'!E$70:E$90)</f>
        <v>#DIV/0!</v>
      </c>
      <c r="G202" s="7" t="e">
        <f t="shared" ref="G202" si="6">AVERAGE(B202:E202)</f>
        <v>#DIV/0!</v>
      </c>
      <c r="I202" s="19">
        <v>2.5</v>
      </c>
      <c r="J202" s="15" t="e">
        <f>+G202-I202</f>
        <v>#DIV/0!</v>
      </c>
    </row>
    <row r="203" spans="1:10" x14ac:dyDescent="0.6">
      <c r="A203" s="18">
        <v>45962</v>
      </c>
      <c r="B203" s="13" t="e">
        <f>AVERAGE('[1]2025.11'!E$11:E$31)</f>
        <v>#DIV/0!</v>
      </c>
      <c r="C203" s="13" t="e">
        <f>AVERAGE('[1]2025.11'!E$32:E$48)</f>
        <v>#DIV/0!</v>
      </c>
      <c r="D203" s="13" t="e">
        <f>AVERAGE('[1]2025.11'!E$49:E$63)</f>
        <v>#DIV/0!</v>
      </c>
      <c r="E203" s="13" t="e">
        <f>AVERAGE('[1]2025.11'!E$64:E$70)</f>
        <v>#DIV/0!</v>
      </c>
      <c r="F203" s="13" t="e">
        <f>AVERAGE('[1]2025.11'!E$71:E$91)</f>
        <v>#DIV/0!</v>
      </c>
      <c r="G203" s="7" t="e">
        <f>AVERAGE(B203:E203)</f>
        <v>#DIV/0!</v>
      </c>
      <c r="H203"/>
      <c r="I203" s="17">
        <v>2.5</v>
      </c>
      <c r="J203" s="15" t="e">
        <f t="shared" ref="J203:J206" si="7">+G203-I203</f>
        <v>#DIV/0!</v>
      </c>
    </row>
    <row r="204" spans="1:10" x14ac:dyDescent="0.6">
      <c r="A204" s="20">
        <v>45992</v>
      </c>
      <c r="B204" s="13" t="e">
        <f>AVERAGE('[1]2025.12'!E$11:E$31)</f>
        <v>#DIV/0!</v>
      </c>
      <c r="C204" s="13" t="e">
        <f>AVERAGE('[1]2025.12'!E$32:E$48)</f>
        <v>#DIV/0!</v>
      </c>
      <c r="D204" s="13" t="e">
        <f>AVERAGE('[1]2025.12'!E$49:E$63)</f>
        <v>#DIV/0!</v>
      </c>
      <c r="E204" s="13" t="e">
        <f>AVERAGE('[1]2025.12'!E$64:E$70)</f>
        <v>#DIV/0!</v>
      </c>
      <c r="F204" s="13" t="e">
        <f>AVERAGE('[1]2025.12'!E$71:E$91)</f>
        <v>#DIV/0!</v>
      </c>
      <c r="G204" s="7" t="e">
        <f t="shared" ref="G204:G211" si="8">AVERAGE(B204:E204)</f>
        <v>#DIV/0!</v>
      </c>
      <c r="H204"/>
      <c r="I204" s="17">
        <v>2.5</v>
      </c>
      <c r="J204" s="15" t="e">
        <f t="shared" si="7"/>
        <v>#DIV/0!</v>
      </c>
    </row>
    <row r="205" spans="1:10" x14ac:dyDescent="0.6">
      <c r="A205" s="20">
        <v>46023</v>
      </c>
      <c r="B205" s="13" t="e">
        <f>AVERAGE('[1]2026.01'!E$11:E$31)</f>
        <v>#DIV/0!</v>
      </c>
      <c r="C205" s="13" t="e">
        <f>AVERAGE('[1]2026.01'!E$32:E$48)</f>
        <v>#DIV/0!</v>
      </c>
      <c r="D205" s="13" t="e">
        <f>AVERAGE('[1]2026.01'!E$49:E$63)</f>
        <v>#DIV/0!</v>
      </c>
      <c r="E205" s="13" t="e">
        <f>AVERAGE('[1]2026.01'!E$64:E$70)</f>
        <v>#DIV/0!</v>
      </c>
      <c r="F205" s="13" t="e">
        <f>AVERAGE('[1]2026.01'!E$71:E$91)</f>
        <v>#DIV/0!</v>
      </c>
      <c r="G205" s="7" t="e">
        <f t="shared" si="8"/>
        <v>#DIV/0!</v>
      </c>
      <c r="H205"/>
      <c r="I205" s="17">
        <v>2.5</v>
      </c>
      <c r="J205" s="15" t="e">
        <f t="shared" si="7"/>
        <v>#DIV/0!</v>
      </c>
    </row>
    <row r="206" spans="1:10" x14ac:dyDescent="0.6">
      <c r="A206" s="20">
        <v>46054</v>
      </c>
      <c r="B206" s="13" t="e">
        <f>AVERAGE('[1]2026.02'!E$11:E$31)</f>
        <v>#DIV/0!</v>
      </c>
      <c r="C206" s="13" t="e">
        <f>AVERAGE('[1]2026.02'!E$32:E$48)</f>
        <v>#DIV/0!</v>
      </c>
      <c r="D206" s="13" t="e">
        <f>AVERAGE('[1]2026.02'!E$49:E$63)</f>
        <v>#DIV/0!</v>
      </c>
      <c r="E206" s="13" t="e">
        <f>AVERAGE('[1]2026.02'!E$64:E$70)</f>
        <v>#DIV/0!</v>
      </c>
      <c r="F206" s="13" t="e">
        <f>AVERAGE('[1]2026.02'!E$71:E$91)</f>
        <v>#DIV/0!</v>
      </c>
      <c r="G206" s="7" t="e">
        <f t="shared" si="8"/>
        <v>#DIV/0!</v>
      </c>
      <c r="H206"/>
      <c r="I206" s="17">
        <v>2.5</v>
      </c>
      <c r="J206" s="15" t="e">
        <f t="shared" si="7"/>
        <v>#DIV/0!</v>
      </c>
    </row>
    <row r="207" spans="1:10" x14ac:dyDescent="0.6">
      <c r="A207" s="20">
        <v>46082</v>
      </c>
      <c r="B207" s="13" t="e">
        <f>AVERAGE('[1]2026.03'!E$11:E$31)</f>
        <v>#DIV/0!</v>
      </c>
      <c r="C207" s="13" t="e">
        <f>AVERAGE('[1]2026.03'!E$32:E$48)</f>
        <v>#DIV/0!</v>
      </c>
      <c r="D207" s="13" t="e">
        <f>AVERAGE('[1]2026.03'!E$49:E$63)</f>
        <v>#DIV/0!</v>
      </c>
      <c r="E207" s="13" t="e">
        <f>AVERAGE('[1]2026.03'!E$64:E$70)</f>
        <v>#DIV/0!</v>
      </c>
      <c r="F207" s="13" t="e">
        <f>AVERAGE('[1]2026.03'!I$11:I$31)</f>
        <v>#DIV/0!</v>
      </c>
      <c r="G207" s="7" t="e">
        <f t="shared" si="8"/>
        <v>#DIV/0!</v>
      </c>
      <c r="I207" s="17">
        <v>2.5</v>
      </c>
      <c r="J207" s="15"/>
    </row>
    <row r="208" spans="1:10" x14ac:dyDescent="0.6">
      <c r="A208" s="20">
        <v>46113</v>
      </c>
      <c r="B208" s="13" t="e">
        <f>AVERAGE('[1]2026.04'!E$11:E$31)</f>
        <v>#DIV/0!</v>
      </c>
      <c r="C208" s="13" t="e">
        <f>AVERAGE('[1]2026.03'!E$32:E$48)</f>
        <v>#DIV/0!</v>
      </c>
      <c r="D208" s="13" t="e">
        <f>AVERAGE('[1]2026.03'!E$49:E$63)</f>
        <v>#DIV/0!</v>
      </c>
      <c r="E208" s="13" t="e">
        <f>AVERAGE('[1]2026.03'!E$64:E$70)</f>
        <v>#DIV/0!</v>
      </c>
      <c r="F208" s="13" t="e">
        <f>AVERAGE('[1]2026.04'!E$71:E$91)</f>
        <v>#DIV/0!</v>
      </c>
      <c r="G208" s="7" t="e">
        <f t="shared" si="8"/>
        <v>#DIV/0!</v>
      </c>
      <c r="I208" s="17">
        <v>2.5</v>
      </c>
      <c r="J208" s="15"/>
    </row>
    <row r="209" spans="1:10" x14ac:dyDescent="0.6">
      <c r="A209" s="20">
        <v>46143</v>
      </c>
      <c r="B209" s="13" t="e">
        <f>AVERAGE('[1]2026.05'!E$11:E$31)</f>
        <v>#DIV/0!</v>
      </c>
      <c r="C209" s="13" t="e">
        <f>AVERAGE('[1]2026.03'!E$32:E$48)</f>
        <v>#DIV/0!</v>
      </c>
      <c r="D209" s="13" t="e">
        <f>AVERAGE('[1]2026.03'!E$49:E$63)</f>
        <v>#DIV/0!</v>
      </c>
      <c r="E209" s="13" t="e">
        <f>AVERAGE('[1]2026.03'!E$64:E$70)</f>
        <v>#DIV/0!</v>
      </c>
      <c r="F209" s="13" t="e">
        <f>AVERAGE('[1]2026.05'!E$71:E$91)</f>
        <v>#DIV/0!</v>
      </c>
      <c r="G209" s="7" t="e">
        <f t="shared" si="8"/>
        <v>#DIV/0!</v>
      </c>
      <c r="I209" s="17">
        <v>2.5</v>
      </c>
      <c r="J209" s="15"/>
    </row>
    <row r="210" spans="1:10" x14ac:dyDescent="0.6">
      <c r="A210" s="20">
        <v>46174</v>
      </c>
      <c r="B210" s="13" t="e">
        <f>AVERAGE('[1]2026.06'!E$11:E$31)</f>
        <v>#DIV/0!</v>
      </c>
      <c r="C210" s="13" t="e">
        <f>AVERAGE('[1]2026.03'!E$32:E$48)</f>
        <v>#DIV/0!</v>
      </c>
      <c r="D210" s="13" t="e">
        <f>AVERAGE('[1]2026.03'!E$49:E$63)</f>
        <v>#DIV/0!</v>
      </c>
      <c r="E210" s="13" t="e">
        <f>AVERAGE('[1]2026.03'!E$64:E$70)</f>
        <v>#DIV/0!</v>
      </c>
      <c r="F210" s="13" t="e">
        <f>AVERAGE('[1]2026.06'!E$71:E$91)</f>
        <v>#DIV/0!</v>
      </c>
      <c r="G210" s="7" t="e">
        <f t="shared" si="8"/>
        <v>#DIV/0!</v>
      </c>
      <c r="I210" s="17">
        <v>2.5</v>
      </c>
      <c r="J210" s="15"/>
    </row>
    <row r="211" spans="1:10" x14ac:dyDescent="0.6">
      <c r="A211" s="20">
        <v>46204</v>
      </c>
      <c r="B211" s="13" t="e">
        <f>AVERAGE('[1]2026.07'!E$11:E$31)</f>
        <v>#DIV/0!</v>
      </c>
      <c r="C211" s="13" t="e">
        <f>AVERAGE('[1]2026.03'!E$32:E$48)</f>
        <v>#DIV/0!</v>
      </c>
      <c r="D211" s="13" t="e">
        <f>AVERAGE('[1]2026.03'!E$49:E$63)</f>
        <v>#DIV/0!</v>
      </c>
      <c r="E211" s="13" t="e">
        <f>AVERAGE('[1]2026.03'!E$64:E$70)</f>
        <v>#DIV/0!</v>
      </c>
      <c r="F211" s="13" t="e">
        <f>AVERAGE('[1]2026.07'!E$71:E$91)</f>
        <v>#DIV/0!</v>
      </c>
      <c r="G211" s="7" t="e">
        <f t="shared" si="8"/>
        <v>#DIV/0!</v>
      </c>
      <c r="I211" s="17">
        <v>2.5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4B1D-87C2-49BE-B13C-1C7D84040DDC}">
  <dimension ref="A4:H211"/>
  <sheetViews>
    <sheetView tabSelected="1" topLeftCell="A190" workbookViewId="0">
      <selection activeCell="E6" sqref="E6"/>
    </sheetView>
  </sheetViews>
  <sheetFormatPr defaultRowHeight="16.899999999999999" x14ac:dyDescent="0.35"/>
  <cols>
    <col min="1" max="1" width="13.25" style="34" customWidth="1"/>
    <col min="2" max="5" width="11.375" style="34" bestFit="1" customWidth="1"/>
    <col min="6" max="6" width="11.375" style="34" customWidth="1"/>
    <col min="7" max="7" width="32" style="34" customWidth="1"/>
    <col min="8" max="8" width="9" style="34"/>
    <col min="9" max="16384" width="9" style="26"/>
  </cols>
  <sheetData>
    <row r="4" spans="1:8" x14ac:dyDescent="0.6">
      <c r="A4" s="21" t="s">
        <v>0</v>
      </c>
      <c r="B4" s="22" t="s">
        <v>1</v>
      </c>
      <c r="C4" s="22" t="s">
        <v>2</v>
      </c>
      <c r="D4" s="22" t="s">
        <v>3</v>
      </c>
      <c r="E4" s="22" t="s">
        <v>4</v>
      </c>
      <c r="F4" s="23" t="s">
        <v>5</v>
      </c>
      <c r="G4" s="24" t="s">
        <v>6</v>
      </c>
      <c r="H4" s="25" t="s">
        <v>8</v>
      </c>
    </row>
    <row r="5" spans="1:8" x14ac:dyDescent="0.6">
      <c r="A5" s="27" t="s">
        <v>9</v>
      </c>
      <c r="B5" s="28">
        <v>4.8850000000000007</v>
      </c>
      <c r="C5" s="28">
        <v>4.6324999999999994</v>
      </c>
      <c r="D5" s="28">
        <v>4.8223076923076924</v>
      </c>
      <c r="E5" s="28">
        <v>4.8250000000000002</v>
      </c>
      <c r="F5" s="28"/>
      <c r="G5" s="28">
        <v>4.7912019230769234</v>
      </c>
      <c r="H5" s="29">
        <v>3.25</v>
      </c>
    </row>
    <row r="6" spans="1:8" x14ac:dyDescent="0.6">
      <c r="A6" s="27" t="s">
        <v>10</v>
      </c>
      <c r="B6" s="28">
        <v>4.8449999999999998</v>
      </c>
      <c r="C6" s="28">
        <v>4.6756250000000001</v>
      </c>
      <c r="D6" s="28">
        <v>4.7007692307692315</v>
      </c>
      <c r="E6" s="28">
        <v>4.8012500000000005</v>
      </c>
      <c r="F6" s="28"/>
      <c r="G6" s="28">
        <v>4.7556610576923077</v>
      </c>
      <c r="H6" s="29">
        <v>3.25</v>
      </c>
    </row>
    <row r="7" spans="1:8" x14ac:dyDescent="0.6">
      <c r="A7" s="27" t="s">
        <v>11</v>
      </c>
      <c r="B7" s="28">
        <v>4.8466666666666667</v>
      </c>
      <c r="C7" s="28">
        <v>4.6256250000000003</v>
      </c>
      <c r="D7" s="28">
        <v>4.6838461538461535</v>
      </c>
      <c r="E7" s="28">
        <v>4.8250000000000011</v>
      </c>
      <c r="F7" s="28"/>
      <c r="G7" s="28">
        <v>4.7452844551282052</v>
      </c>
      <c r="H7" s="29">
        <v>3.25</v>
      </c>
    </row>
    <row r="8" spans="1:8" x14ac:dyDescent="0.6">
      <c r="A8" s="27" t="s">
        <v>12</v>
      </c>
      <c r="B8" s="28">
        <v>4.8599999999999994</v>
      </c>
      <c r="C8" s="28">
        <v>4.6518750000000004</v>
      </c>
      <c r="D8" s="28">
        <v>4.684615384615384</v>
      </c>
      <c r="E8" s="28">
        <v>4.8175000000000008</v>
      </c>
      <c r="F8" s="28"/>
      <c r="G8" s="28">
        <v>4.7534975961538457</v>
      </c>
      <c r="H8" s="29">
        <v>3.25</v>
      </c>
    </row>
    <row r="9" spans="1:8" x14ac:dyDescent="0.6">
      <c r="A9" s="27" t="s">
        <v>13</v>
      </c>
      <c r="B9" s="28">
        <v>4.9125000000000005</v>
      </c>
      <c r="C9" s="28">
        <v>4.6962499999999991</v>
      </c>
      <c r="D9" s="28">
        <v>4.686923076923077</v>
      </c>
      <c r="E9" s="28">
        <v>4.8125</v>
      </c>
      <c r="F9" s="28"/>
      <c r="G9" s="28">
        <v>4.7770432692307692</v>
      </c>
      <c r="H9" s="29">
        <v>3.25</v>
      </c>
    </row>
    <row r="10" spans="1:8" x14ac:dyDescent="0.6">
      <c r="A10" s="27" t="s">
        <v>14</v>
      </c>
      <c r="B10" s="28">
        <v>4.8824999999999994</v>
      </c>
      <c r="C10" s="28">
        <v>4.6576470588235299</v>
      </c>
      <c r="D10" s="28">
        <v>4.7007692307692306</v>
      </c>
      <c r="E10" s="28">
        <v>4.8237500000000004</v>
      </c>
      <c r="F10" s="28"/>
      <c r="G10" s="28">
        <v>4.7661665723981894</v>
      </c>
      <c r="H10" s="29">
        <v>3.25</v>
      </c>
    </row>
    <row r="11" spans="1:8" x14ac:dyDescent="0.6">
      <c r="A11" s="27" t="s">
        <v>15</v>
      </c>
      <c r="B11" s="28">
        <v>4.7791666666666659</v>
      </c>
      <c r="C11" s="28">
        <v>4.6282352941176468</v>
      </c>
      <c r="D11" s="28">
        <v>4.6192307692307697</v>
      </c>
      <c r="E11" s="28">
        <v>4.7712500000000002</v>
      </c>
      <c r="F11" s="28"/>
      <c r="G11" s="28">
        <v>4.6994706825037706</v>
      </c>
      <c r="H11" s="29">
        <v>3.25</v>
      </c>
    </row>
    <row r="12" spans="1:8" x14ac:dyDescent="0.6">
      <c r="A12" s="27" t="s">
        <v>16</v>
      </c>
      <c r="B12" s="28">
        <v>4.6983333333333341</v>
      </c>
      <c r="C12" s="28">
        <v>4.6141176470588237</v>
      </c>
      <c r="D12" s="28">
        <v>4.5623076923076917</v>
      </c>
      <c r="E12" s="28">
        <v>4.7225000000000001</v>
      </c>
      <c r="F12" s="28"/>
      <c r="G12" s="28">
        <v>4.649314668174962</v>
      </c>
      <c r="H12" s="29">
        <v>3.25</v>
      </c>
    </row>
    <row r="13" spans="1:8" x14ac:dyDescent="0.6">
      <c r="A13" s="27" t="s">
        <v>17</v>
      </c>
      <c r="B13" s="28">
        <v>4.6158333333333337</v>
      </c>
      <c r="C13" s="28">
        <v>4.59</v>
      </c>
      <c r="D13" s="28">
        <v>4.4861538461538464</v>
      </c>
      <c r="E13" s="28">
        <v>4.6212499999999999</v>
      </c>
      <c r="F13" s="28"/>
      <c r="G13" s="28">
        <v>4.5783092948717954</v>
      </c>
      <c r="H13" s="29">
        <v>3.25</v>
      </c>
    </row>
    <row r="14" spans="1:8" x14ac:dyDescent="0.6">
      <c r="A14" s="27" t="s">
        <v>18</v>
      </c>
      <c r="B14" s="28">
        <v>4.5616666666666665</v>
      </c>
      <c r="C14" s="28">
        <v>4.5549999999999997</v>
      </c>
      <c r="D14" s="28">
        <v>4.4176923076923078</v>
      </c>
      <c r="E14" s="28">
        <v>4.5649999999999995</v>
      </c>
      <c r="F14" s="28"/>
      <c r="G14" s="28">
        <v>4.5248397435897436</v>
      </c>
      <c r="H14" s="29">
        <v>3.25</v>
      </c>
    </row>
    <row r="15" spans="1:8" x14ac:dyDescent="0.6">
      <c r="A15" s="27" t="s">
        <v>19</v>
      </c>
      <c r="B15" s="28">
        <v>4.5708333333333337</v>
      </c>
      <c r="C15" s="28">
        <v>4.5143749999999985</v>
      </c>
      <c r="D15" s="28">
        <v>4.3969230769230769</v>
      </c>
      <c r="E15" s="28">
        <v>4.4562500000000007</v>
      </c>
      <c r="F15" s="28"/>
      <c r="G15" s="28">
        <v>4.4845953525641029</v>
      </c>
      <c r="H15" s="29">
        <v>3</v>
      </c>
    </row>
    <row r="16" spans="1:8" x14ac:dyDescent="0.6">
      <c r="A16" s="27" t="s">
        <v>20</v>
      </c>
      <c r="B16" s="28">
        <v>4.5741666666666667</v>
      </c>
      <c r="C16" s="28">
        <v>4.4362499999999994</v>
      </c>
      <c r="D16" s="28">
        <v>4.3969230769230769</v>
      </c>
      <c r="E16" s="28">
        <v>4.4674999999999994</v>
      </c>
      <c r="F16" s="28"/>
      <c r="G16" s="28">
        <v>4.4687099358974356</v>
      </c>
      <c r="H16" s="29">
        <v>3</v>
      </c>
    </row>
    <row r="17" spans="1:8" x14ac:dyDescent="0.6">
      <c r="A17" s="27" t="s">
        <v>21</v>
      </c>
      <c r="B17" s="28">
        <v>4.2116666666666669</v>
      </c>
      <c r="C17" s="28">
        <v>3.975625</v>
      </c>
      <c r="D17" s="28">
        <v>4.1623076923076932</v>
      </c>
      <c r="E17" s="28">
        <v>4.3174999999999999</v>
      </c>
      <c r="F17" s="28"/>
      <c r="G17" s="28">
        <v>4.1667748397435895</v>
      </c>
      <c r="H17" s="29">
        <v>3</v>
      </c>
    </row>
    <row r="18" spans="1:8" x14ac:dyDescent="0.6">
      <c r="A18" s="27" t="s">
        <v>22</v>
      </c>
      <c r="B18" s="28">
        <v>4.0358333333333327</v>
      </c>
      <c r="C18" s="28">
        <v>3.9786666666666664</v>
      </c>
      <c r="D18" s="28">
        <v>3.9146153846153839</v>
      </c>
      <c r="E18" s="28">
        <v>4.1125000000000007</v>
      </c>
      <c r="F18" s="28"/>
      <c r="G18" s="28">
        <v>4.0104038461538458</v>
      </c>
      <c r="H18" s="29">
        <v>3</v>
      </c>
    </row>
    <row r="19" spans="1:8" x14ac:dyDescent="0.6">
      <c r="A19" s="27" t="s">
        <v>23</v>
      </c>
      <c r="B19" s="28">
        <v>4.0708333333333337</v>
      </c>
      <c r="C19" s="28">
        <v>4.0556250000000009</v>
      </c>
      <c r="D19" s="28">
        <v>3.8830769230769233</v>
      </c>
      <c r="E19" s="28">
        <v>4.0262500000000001</v>
      </c>
      <c r="F19" s="28"/>
      <c r="G19" s="28">
        <v>4.0089463141025652</v>
      </c>
      <c r="H19" s="29">
        <v>3</v>
      </c>
    </row>
    <row r="20" spans="1:8" x14ac:dyDescent="0.6">
      <c r="A20" s="27" t="s">
        <v>24</v>
      </c>
      <c r="B20" s="28">
        <v>4.0108333333333333</v>
      </c>
      <c r="C20" s="28">
        <v>3.9812499999999997</v>
      </c>
      <c r="D20" s="28">
        <v>3.8523076923076922</v>
      </c>
      <c r="E20" s="28">
        <v>4</v>
      </c>
      <c r="F20" s="28"/>
      <c r="G20" s="28">
        <v>3.9610977564102563</v>
      </c>
      <c r="H20" s="29">
        <v>3</v>
      </c>
    </row>
    <row r="21" spans="1:8" x14ac:dyDescent="0.6">
      <c r="A21" s="27" t="s">
        <v>25</v>
      </c>
      <c r="B21" s="28">
        <v>4.0483333333333338</v>
      </c>
      <c r="C21" s="28">
        <v>4.0050000000000008</v>
      </c>
      <c r="D21" s="28">
        <v>3.8738461538461548</v>
      </c>
      <c r="E21" s="28">
        <v>3.9825000000000004</v>
      </c>
      <c r="F21" s="28"/>
      <c r="G21" s="28">
        <v>3.9774198717948726</v>
      </c>
      <c r="H21" s="29">
        <v>2.75</v>
      </c>
    </row>
    <row r="22" spans="1:8" x14ac:dyDescent="0.6">
      <c r="A22" s="27" t="s">
        <v>26</v>
      </c>
      <c r="B22" s="28">
        <v>4.025833333333332</v>
      </c>
      <c r="C22" s="28">
        <v>3.9556249999999995</v>
      </c>
      <c r="D22" s="28">
        <v>3.8600000000000003</v>
      </c>
      <c r="E22" s="28">
        <v>3.9737500000000003</v>
      </c>
      <c r="F22" s="28"/>
      <c r="G22" s="28">
        <v>3.9538020833333332</v>
      </c>
      <c r="H22" s="29">
        <v>2.75</v>
      </c>
    </row>
    <row r="23" spans="1:8" x14ac:dyDescent="0.6">
      <c r="A23" s="27" t="s">
        <v>27</v>
      </c>
      <c r="B23" s="28">
        <v>4.0541666666666663</v>
      </c>
      <c r="C23" s="28">
        <v>3.9673333333333338</v>
      </c>
      <c r="D23" s="28">
        <v>3.8561538461538469</v>
      </c>
      <c r="E23" s="28">
        <v>3.88625</v>
      </c>
      <c r="F23" s="28"/>
      <c r="G23" s="28">
        <v>3.9409759615384616</v>
      </c>
      <c r="H23" s="29">
        <v>2.75</v>
      </c>
    </row>
    <row r="24" spans="1:8" x14ac:dyDescent="0.6">
      <c r="A24" s="27" t="s">
        <v>28</v>
      </c>
      <c r="B24" s="28">
        <v>4.0175000000000001</v>
      </c>
      <c r="C24" s="28">
        <v>3.9385714285714286</v>
      </c>
      <c r="D24" s="28">
        <v>3.8453846153846154</v>
      </c>
      <c r="E24" s="28">
        <v>3.9312500000000004</v>
      </c>
      <c r="F24" s="28"/>
      <c r="G24" s="28">
        <v>3.9331765109890111</v>
      </c>
      <c r="H24" s="29">
        <v>2.75</v>
      </c>
    </row>
    <row r="25" spans="1:8" x14ac:dyDescent="0.6">
      <c r="A25" s="27" t="s">
        <v>29</v>
      </c>
      <c r="B25" s="28">
        <v>4.0274999999999999</v>
      </c>
      <c r="C25" s="28">
        <v>3.9349999999999996</v>
      </c>
      <c r="D25" s="28">
        <v>3.8430769230769233</v>
      </c>
      <c r="E25" s="28">
        <v>3.9200000000000004</v>
      </c>
      <c r="F25" s="28"/>
      <c r="G25" s="28">
        <v>3.9313942307692309</v>
      </c>
      <c r="H25" s="29">
        <v>2.75</v>
      </c>
    </row>
    <row r="26" spans="1:8" x14ac:dyDescent="0.6">
      <c r="A26" s="27" t="s">
        <v>30</v>
      </c>
      <c r="B26" s="28">
        <v>4.0525000000000002</v>
      </c>
      <c r="C26" s="28">
        <v>3.9493749999999994</v>
      </c>
      <c r="D26" s="28">
        <v>3.8676923076923071</v>
      </c>
      <c r="E26" s="28">
        <v>3.87</v>
      </c>
      <c r="F26" s="28"/>
      <c r="G26" s="28">
        <v>3.934891826923077</v>
      </c>
      <c r="H26" s="29">
        <v>2.75</v>
      </c>
    </row>
    <row r="27" spans="1:8" x14ac:dyDescent="0.6">
      <c r="A27" s="27" t="s">
        <v>31</v>
      </c>
      <c r="B27" s="28">
        <v>4.0541666666666671</v>
      </c>
      <c r="C27" s="28">
        <v>3.941875</v>
      </c>
      <c r="D27" s="28">
        <v>3.8692307692307684</v>
      </c>
      <c r="E27" s="28">
        <v>3.8642857142857143</v>
      </c>
      <c r="F27" s="28"/>
      <c r="G27" s="28">
        <v>3.9323895375457871</v>
      </c>
      <c r="H27" s="29">
        <v>2.75</v>
      </c>
    </row>
    <row r="28" spans="1:8" x14ac:dyDescent="0.6">
      <c r="A28" s="27" t="s">
        <v>32</v>
      </c>
      <c r="B28" s="28">
        <v>3.811666666666667</v>
      </c>
      <c r="C28" s="28">
        <v>3.7456250000000004</v>
      </c>
      <c r="D28" s="28">
        <v>3.8166666666666664</v>
      </c>
      <c r="E28" s="28">
        <v>3.7912500000000002</v>
      </c>
      <c r="F28" s="28"/>
      <c r="G28" s="28">
        <v>3.7913020833333335</v>
      </c>
      <c r="H28" s="29">
        <v>2.75</v>
      </c>
    </row>
    <row r="29" spans="1:8" x14ac:dyDescent="0.6">
      <c r="A29" s="27" t="s">
        <v>33</v>
      </c>
      <c r="B29" s="28">
        <v>3.7283333333333335</v>
      </c>
      <c r="C29" s="28">
        <v>3.6368749999999994</v>
      </c>
      <c r="D29" s="28">
        <v>3.7446153846153845</v>
      </c>
      <c r="E29" s="28">
        <v>3.6850000000000001</v>
      </c>
      <c r="F29" s="28"/>
      <c r="G29" s="28">
        <v>3.6987059294871796</v>
      </c>
      <c r="H29" s="29">
        <v>2.75</v>
      </c>
    </row>
    <row r="30" spans="1:8" x14ac:dyDescent="0.6">
      <c r="A30" s="27" t="s">
        <v>34</v>
      </c>
      <c r="B30" s="28">
        <v>3.7699999999999996</v>
      </c>
      <c r="C30" s="28">
        <v>3.5993749999999998</v>
      </c>
      <c r="D30" s="28">
        <v>3.7107692307692304</v>
      </c>
      <c r="E30" s="28">
        <v>3.6542857142857139</v>
      </c>
      <c r="F30" s="28"/>
      <c r="G30" s="28">
        <v>3.6836074862637362</v>
      </c>
      <c r="H30" s="29">
        <v>2.75</v>
      </c>
    </row>
    <row r="31" spans="1:8" x14ac:dyDescent="0.6">
      <c r="A31" s="27" t="s">
        <v>35</v>
      </c>
      <c r="B31" s="28">
        <v>3.7008333333333332</v>
      </c>
      <c r="C31" s="28">
        <v>3.5437499999999997</v>
      </c>
      <c r="D31" s="28">
        <v>3.6530769230769233</v>
      </c>
      <c r="E31" s="28">
        <v>3.4987500000000002</v>
      </c>
      <c r="F31" s="28"/>
      <c r="G31" s="28">
        <v>3.599102564102564</v>
      </c>
      <c r="H31" s="29">
        <v>2.75</v>
      </c>
    </row>
    <row r="32" spans="1:8" x14ac:dyDescent="0.6">
      <c r="A32" s="27" t="s">
        <v>36</v>
      </c>
      <c r="B32" s="28">
        <v>3.7249999999999996</v>
      </c>
      <c r="C32" s="28">
        <v>3.5193750000000001</v>
      </c>
      <c r="D32" s="28">
        <v>3.5938461538461537</v>
      </c>
      <c r="E32" s="28">
        <v>3.51125</v>
      </c>
      <c r="F32" s="28"/>
      <c r="G32" s="28">
        <v>3.5873677884615383</v>
      </c>
      <c r="H32" s="29">
        <v>2.75</v>
      </c>
    </row>
    <row r="33" spans="1:8" x14ac:dyDescent="0.6">
      <c r="A33" s="27" t="s">
        <v>37</v>
      </c>
      <c r="B33" s="28">
        <v>3.6500000000000004</v>
      </c>
      <c r="C33" s="28">
        <v>3.4781249999999999</v>
      </c>
      <c r="D33" s="28">
        <v>3.54</v>
      </c>
      <c r="E33" s="28">
        <v>3.4325000000000001</v>
      </c>
      <c r="F33" s="28"/>
      <c r="G33" s="28">
        <v>3.5251562500000002</v>
      </c>
      <c r="H33" s="29">
        <v>2.75</v>
      </c>
    </row>
    <row r="34" spans="1:8" x14ac:dyDescent="0.6">
      <c r="A34" s="27" t="s">
        <v>38</v>
      </c>
      <c r="B34" s="28">
        <v>3.6516666666666668</v>
      </c>
      <c r="C34" s="28">
        <v>3.3768750000000001</v>
      </c>
      <c r="D34" s="28">
        <v>3.4915384615384619</v>
      </c>
      <c r="E34" s="28">
        <v>3.3950000000000005</v>
      </c>
      <c r="F34" s="28"/>
      <c r="G34" s="28">
        <v>3.4787700320512824</v>
      </c>
      <c r="H34" s="29">
        <v>2.75</v>
      </c>
    </row>
    <row r="35" spans="1:8" x14ac:dyDescent="0.6">
      <c r="A35" s="27" t="s">
        <v>39</v>
      </c>
      <c r="B35" s="28">
        <v>3.6875000000000004</v>
      </c>
      <c r="C35" s="28">
        <v>3.4686666666666657</v>
      </c>
      <c r="D35" s="28">
        <v>3.4707692307692306</v>
      </c>
      <c r="E35" s="28">
        <v>3.3612500000000001</v>
      </c>
      <c r="F35" s="28"/>
      <c r="G35" s="28">
        <v>3.497046474358974</v>
      </c>
      <c r="H35" s="29">
        <v>2.5</v>
      </c>
    </row>
    <row r="36" spans="1:8" x14ac:dyDescent="0.6">
      <c r="A36" s="27" t="s">
        <v>40</v>
      </c>
      <c r="B36" s="28">
        <v>3.6108333333333342</v>
      </c>
      <c r="C36" s="28">
        <v>3.3646666666666669</v>
      </c>
      <c r="D36" s="28">
        <v>3.4653846153846155</v>
      </c>
      <c r="E36" s="28">
        <v>3.3462499999999999</v>
      </c>
      <c r="F36" s="28"/>
      <c r="G36" s="28">
        <v>3.446783653846154</v>
      </c>
      <c r="H36" s="29">
        <v>2.5</v>
      </c>
    </row>
    <row r="37" spans="1:8" x14ac:dyDescent="0.6">
      <c r="A37" s="27" t="s">
        <v>41</v>
      </c>
      <c r="B37" s="28">
        <v>3.5858333333333339</v>
      </c>
      <c r="C37" s="28">
        <v>3.3366666666666664</v>
      </c>
      <c r="D37" s="28">
        <v>3.4438461538461533</v>
      </c>
      <c r="E37" s="28">
        <v>3.3525</v>
      </c>
      <c r="F37" s="28"/>
      <c r="G37" s="28">
        <v>3.4297115384615386</v>
      </c>
      <c r="H37" s="29">
        <v>2.5</v>
      </c>
    </row>
    <row r="38" spans="1:8" x14ac:dyDescent="0.6">
      <c r="A38" s="27" t="s">
        <v>42</v>
      </c>
      <c r="B38" s="28">
        <v>3.710833333333333</v>
      </c>
      <c r="C38" s="28">
        <v>3.393333333333334</v>
      </c>
      <c r="D38" s="28">
        <v>3.473846153846154</v>
      </c>
      <c r="E38" s="28">
        <v>3.3937499999999998</v>
      </c>
      <c r="F38" s="28"/>
      <c r="G38" s="28">
        <v>3.4929407051282055</v>
      </c>
      <c r="H38" s="29">
        <v>2.5</v>
      </c>
    </row>
    <row r="39" spans="1:8" x14ac:dyDescent="0.6">
      <c r="A39" s="27" t="s">
        <v>43</v>
      </c>
      <c r="B39" s="28">
        <v>3.686666666666667</v>
      </c>
      <c r="C39" s="28">
        <v>3.448666666666667</v>
      </c>
      <c r="D39" s="28">
        <v>3.4923076923076923</v>
      </c>
      <c r="E39" s="28">
        <v>3.3725000000000001</v>
      </c>
      <c r="F39" s="28"/>
      <c r="G39" s="28">
        <v>3.5000352564102566</v>
      </c>
      <c r="H39" s="29">
        <v>2.5</v>
      </c>
    </row>
    <row r="40" spans="1:8" x14ac:dyDescent="0.6">
      <c r="A40" s="27" t="s">
        <v>44</v>
      </c>
      <c r="B40" s="28">
        <v>3.6908333333333334</v>
      </c>
      <c r="C40" s="28">
        <v>3.3426666666666667</v>
      </c>
      <c r="D40" s="28">
        <v>3.5015384615384617</v>
      </c>
      <c r="E40" s="28">
        <v>3.3812500000000001</v>
      </c>
      <c r="F40" s="28"/>
      <c r="G40" s="28">
        <v>3.4790721153846156</v>
      </c>
      <c r="H40" s="29">
        <v>2.5</v>
      </c>
    </row>
    <row r="41" spans="1:8" x14ac:dyDescent="0.6">
      <c r="A41" s="27" t="s">
        <v>45</v>
      </c>
      <c r="B41" s="28">
        <v>3.6308333333333329</v>
      </c>
      <c r="C41" s="28">
        <v>3.2480000000000002</v>
      </c>
      <c r="D41" s="28">
        <v>3.5266666666666668</v>
      </c>
      <c r="E41" s="28">
        <v>3.3314285714285714</v>
      </c>
      <c r="F41" s="28"/>
      <c r="G41" s="28">
        <v>3.4342321428571427</v>
      </c>
      <c r="H41" s="29">
        <v>2.5</v>
      </c>
    </row>
    <row r="42" spans="1:8" x14ac:dyDescent="0.6">
      <c r="A42" s="27" t="s">
        <v>46</v>
      </c>
      <c r="B42" s="28">
        <v>3.645</v>
      </c>
      <c r="C42" s="28">
        <v>3.1953333333333331</v>
      </c>
      <c r="D42" s="28">
        <v>3.3774999999999995</v>
      </c>
      <c r="E42" s="28">
        <v>3.3337500000000002</v>
      </c>
      <c r="F42" s="28"/>
      <c r="G42" s="28">
        <v>3.3878958333333333</v>
      </c>
      <c r="H42" s="29">
        <v>2.5</v>
      </c>
    </row>
    <row r="43" spans="1:8" x14ac:dyDescent="0.6">
      <c r="A43" s="27" t="s">
        <v>47</v>
      </c>
      <c r="B43" s="28">
        <v>3.5566666666666666</v>
      </c>
      <c r="C43" s="28">
        <v>3.2</v>
      </c>
      <c r="D43" s="28">
        <v>3.3658333333333332</v>
      </c>
      <c r="E43" s="28">
        <v>3.2757142857142858</v>
      </c>
      <c r="F43" s="28"/>
      <c r="G43" s="28">
        <v>3.3495535714285714</v>
      </c>
      <c r="H43" s="29">
        <v>2.5</v>
      </c>
    </row>
    <row r="44" spans="1:8" x14ac:dyDescent="0.6">
      <c r="A44" s="27" t="s">
        <v>48</v>
      </c>
      <c r="B44" s="28">
        <v>3.5458333333333329</v>
      </c>
      <c r="C44" s="28">
        <v>3.1733333333333333</v>
      </c>
      <c r="D44" s="28">
        <v>3.3815384615384616</v>
      </c>
      <c r="E44" s="28">
        <v>3.2800000000000002</v>
      </c>
      <c r="F44" s="28"/>
      <c r="G44" s="28">
        <v>3.3451762820512823</v>
      </c>
      <c r="H44" s="29">
        <v>2.5</v>
      </c>
    </row>
    <row r="45" spans="1:8" x14ac:dyDescent="0.6">
      <c r="A45" s="27" t="s">
        <v>49</v>
      </c>
      <c r="B45" s="28">
        <v>3.544166666666666</v>
      </c>
      <c r="C45" s="28">
        <v>3.1430769230769231</v>
      </c>
      <c r="D45" s="28">
        <v>3.3600000000000008</v>
      </c>
      <c r="E45" s="28">
        <v>3.2228571428571433</v>
      </c>
      <c r="F45" s="28"/>
      <c r="G45" s="28">
        <v>3.3175251831501837</v>
      </c>
      <c r="H45" s="29">
        <v>2.5</v>
      </c>
    </row>
    <row r="46" spans="1:8" x14ac:dyDescent="0.6">
      <c r="A46" s="27" t="s">
        <v>50</v>
      </c>
      <c r="B46" s="28">
        <v>3.4966666666666661</v>
      </c>
      <c r="C46" s="28">
        <v>3.1226666666666669</v>
      </c>
      <c r="D46" s="28">
        <v>3.3369230769230773</v>
      </c>
      <c r="E46" s="28">
        <v>3.311666666666667</v>
      </c>
      <c r="F46" s="28"/>
      <c r="G46" s="28">
        <v>3.3169807692307698</v>
      </c>
      <c r="H46" s="29">
        <v>2.5</v>
      </c>
    </row>
    <row r="47" spans="1:8" x14ac:dyDescent="0.6">
      <c r="A47" s="27" t="s">
        <v>51</v>
      </c>
      <c r="B47" s="28">
        <v>3.4891666666666672</v>
      </c>
      <c r="C47" s="28">
        <v>3.0884615384615377</v>
      </c>
      <c r="D47" s="28">
        <v>3.3223076923076929</v>
      </c>
      <c r="E47" s="28">
        <v>3.2716666666666665</v>
      </c>
      <c r="F47" s="28"/>
      <c r="G47" s="28">
        <v>3.292900641025641</v>
      </c>
      <c r="H47" s="29">
        <v>2.5</v>
      </c>
    </row>
    <row r="48" spans="1:8" x14ac:dyDescent="0.6">
      <c r="A48" s="27" t="s">
        <v>52</v>
      </c>
      <c r="B48" s="28">
        <v>3.5054545454545458</v>
      </c>
      <c r="C48" s="28">
        <v>3.0859999999999999</v>
      </c>
      <c r="D48" s="28">
        <v>3.3292307692307692</v>
      </c>
      <c r="E48" s="28">
        <v>3.2683333333333331</v>
      </c>
      <c r="F48" s="28"/>
      <c r="G48" s="28">
        <v>3.2972546620046619</v>
      </c>
      <c r="H48" s="29">
        <v>2.5</v>
      </c>
    </row>
    <row r="49" spans="1:8" x14ac:dyDescent="0.6">
      <c r="A49" s="27" t="s">
        <v>53</v>
      </c>
      <c r="B49" s="28">
        <v>3.5325000000000002</v>
      </c>
      <c r="C49" s="28">
        <v>3.0686666666666667</v>
      </c>
      <c r="D49" s="28">
        <v>3.3369230769230773</v>
      </c>
      <c r="E49" s="28">
        <v>3.2966666666666669</v>
      </c>
      <c r="F49" s="28"/>
      <c r="G49" s="28">
        <v>3.3086891025641028</v>
      </c>
      <c r="H49" s="29">
        <v>2.5</v>
      </c>
    </row>
    <row r="50" spans="1:8" x14ac:dyDescent="0.6">
      <c r="A50" s="27" t="s">
        <v>54</v>
      </c>
      <c r="B50" s="28">
        <v>3.6025000000000005</v>
      </c>
      <c r="C50" s="28">
        <v>3.0713333333333335</v>
      </c>
      <c r="D50" s="28">
        <v>3.436666666666667</v>
      </c>
      <c r="E50" s="28">
        <v>3.3283333333333336</v>
      </c>
      <c r="F50" s="28"/>
      <c r="G50" s="28">
        <v>3.3597083333333337</v>
      </c>
      <c r="H50" s="29">
        <v>2.5</v>
      </c>
    </row>
    <row r="51" spans="1:8" x14ac:dyDescent="0.6">
      <c r="A51" s="27" t="s">
        <v>55</v>
      </c>
      <c r="B51" s="28">
        <v>3.5041666666666664</v>
      </c>
      <c r="C51" s="28">
        <v>3.0566666666666666</v>
      </c>
      <c r="D51" s="28">
        <v>3.2938461538461543</v>
      </c>
      <c r="E51" s="28">
        <v>3.268333333333334</v>
      </c>
      <c r="F51" s="28"/>
      <c r="G51" s="28">
        <v>3.2807532051282053</v>
      </c>
      <c r="H51" s="29">
        <v>2.5</v>
      </c>
    </row>
    <row r="52" spans="1:8" x14ac:dyDescent="0.6">
      <c r="A52" s="27" t="s">
        <v>56</v>
      </c>
      <c r="B52" s="28">
        <v>3.3891666666666667</v>
      </c>
      <c r="C52" s="28">
        <v>2.9699999999999998</v>
      </c>
      <c r="D52" s="28">
        <v>3.2738461538461539</v>
      </c>
      <c r="E52" s="28">
        <v>3.24</v>
      </c>
      <c r="F52" s="28"/>
      <c r="G52" s="28">
        <v>3.2182532051282053</v>
      </c>
      <c r="H52" s="29">
        <v>2.5</v>
      </c>
    </row>
    <row r="53" spans="1:8" x14ac:dyDescent="0.6">
      <c r="A53" s="27" t="s">
        <v>57</v>
      </c>
      <c r="B53" s="28">
        <v>3.3250000000000006</v>
      </c>
      <c r="C53" s="28">
        <v>2.9660000000000006</v>
      </c>
      <c r="D53" s="28">
        <v>3.2530769230769234</v>
      </c>
      <c r="E53" s="28">
        <v>3.22</v>
      </c>
      <c r="F53" s="28"/>
      <c r="G53" s="28">
        <v>3.1910192307692316</v>
      </c>
      <c r="H53" s="29">
        <v>2.5</v>
      </c>
    </row>
    <row r="54" spans="1:8" x14ac:dyDescent="0.6">
      <c r="A54" s="27" t="s">
        <v>58</v>
      </c>
      <c r="B54" s="28">
        <v>3.2808333333333337</v>
      </c>
      <c r="C54" s="28">
        <v>2.9440000000000004</v>
      </c>
      <c r="D54" s="28">
        <v>3.2307692307692308</v>
      </c>
      <c r="E54" s="28">
        <v>3.1966666666666668</v>
      </c>
      <c r="F54" s="28"/>
      <c r="G54" s="28">
        <v>3.1630673076923084</v>
      </c>
      <c r="H54" s="29">
        <v>2.5</v>
      </c>
    </row>
    <row r="55" spans="1:8" x14ac:dyDescent="0.6">
      <c r="A55" s="27" t="s">
        <v>59</v>
      </c>
      <c r="B55" s="28">
        <v>3.2450000000000006</v>
      </c>
      <c r="C55" s="28">
        <v>2.9180000000000001</v>
      </c>
      <c r="D55" s="28">
        <v>3.1938461538461542</v>
      </c>
      <c r="E55" s="28">
        <v>3.1516666666666668</v>
      </c>
      <c r="F55" s="28"/>
      <c r="G55" s="28">
        <v>3.1271282051282054</v>
      </c>
      <c r="H55" s="29">
        <v>2.5</v>
      </c>
    </row>
    <row r="56" spans="1:8" x14ac:dyDescent="0.6">
      <c r="A56" s="27" t="s">
        <v>60</v>
      </c>
      <c r="B56" s="28">
        <v>3.2633333333333336</v>
      </c>
      <c r="C56" s="28">
        <v>2.9213333333333336</v>
      </c>
      <c r="D56" s="28">
        <v>3.1861538461538457</v>
      </c>
      <c r="E56" s="28">
        <v>3.1366666666666667</v>
      </c>
      <c r="F56" s="28"/>
      <c r="G56" s="28">
        <v>3.1268717948717946</v>
      </c>
      <c r="H56" s="29">
        <v>2.5</v>
      </c>
    </row>
    <row r="57" spans="1:8" x14ac:dyDescent="0.6">
      <c r="A57" s="27" t="s">
        <v>61</v>
      </c>
      <c r="B57" s="28">
        <v>3.2383333333333333</v>
      </c>
      <c r="C57" s="28">
        <v>2.9213333333333336</v>
      </c>
      <c r="D57" s="28">
        <v>3.1792307692307693</v>
      </c>
      <c r="E57" s="28">
        <v>3.1233333333333331</v>
      </c>
      <c r="F57" s="28"/>
      <c r="G57" s="28">
        <v>3.1155576923076924</v>
      </c>
      <c r="H57" s="29">
        <v>2.5</v>
      </c>
    </row>
    <row r="58" spans="1:8" x14ac:dyDescent="0.6">
      <c r="A58" s="27" t="s">
        <v>62</v>
      </c>
      <c r="B58" s="28">
        <v>3.2733333333333334</v>
      </c>
      <c r="C58" s="28">
        <v>2.9020000000000001</v>
      </c>
      <c r="D58" s="28">
        <v>3.1838461538461535</v>
      </c>
      <c r="E58" s="28">
        <v>3.1383333333333332</v>
      </c>
      <c r="F58" s="28"/>
      <c r="G58" s="28">
        <v>3.1243782051282052</v>
      </c>
      <c r="H58" s="29">
        <v>2.5</v>
      </c>
    </row>
    <row r="59" spans="1:8" x14ac:dyDescent="0.6">
      <c r="A59" s="27" t="s">
        <v>63</v>
      </c>
      <c r="B59" s="28">
        <v>3.2658333333333336</v>
      </c>
      <c r="C59" s="28">
        <v>2.9193333333333333</v>
      </c>
      <c r="D59" s="28">
        <v>3.1492307692307691</v>
      </c>
      <c r="E59" s="28">
        <v>3.1120000000000001</v>
      </c>
      <c r="F59" s="28"/>
      <c r="G59" s="28">
        <v>3.1115993589743591</v>
      </c>
      <c r="H59" s="29">
        <v>2.5</v>
      </c>
    </row>
    <row r="60" spans="1:8" x14ac:dyDescent="0.6">
      <c r="A60" s="27" t="s">
        <v>64</v>
      </c>
      <c r="B60" s="28">
        <v>3.269166666666667</v>
      </c>
      <c r="C60" s="28">
        <v>2.9113333333333329</v>
      </c>
      <c r="D60" s="28">
        <v>3.1384615384615389</v>
      </c>
      <c r="E60" s="28">
        <v>3.1199999999999997</v>
      </c>
      <c r="F60" s="28"/>
      <c r="G60" s="28">
        <v>3.1097403846153848</v>
      </c>
      <c r="H60" s="29">
        <v>2.5</v>
      </c>
    </row>
    <row r="61" spans="1:8" x14ac:dyDescent="0.6">
      <c r="A61" s="27" t="s">
        <v>65</v>
      </c>
      <c r="B61" s="28">
        <v>3.2341666666666664</v>
      </c>
      <c r="C61" s="28">
        <v>2.8993333333333329</v>
      </c>
      <c r="D61" s="28">
        <v>3.117692307692308</v>
      </c>
      <c r="E61" s="28">
        <v>3.1116666666666664</v>
      </c>
      <c r="F61" s="28"/>
      <c r="G61" s="28">
        <v>3.0907147435897433</v>
      </c>
      <c r="H61" s="29">
        <v>2.5</v>
      </c>
    </row>
    <row r="62" spans="1:8" x14ac:dyDescent="0.6">
      <c r="A62" s="27" t="s">
        <v>66</v>
      </c>
      <c r="B62" s="28">
        <v>3.2341666666666664</v>
      </c>
      <c r="C62" s="28">
        <v>2.8993333333333329</v>
      </c>
      <c r="D62" s="28">
        <v>3.117692307692308</v>
      </c>
      <c r="E62" s="28">
        <v>3.1116666666666664</v>
      </c>
      <c r="F62" s="28"/>
      <c r="G62" s="28">
        <v>3.0907147435897433</v>
      </c>
      <c r="H62" s="29">
        <v>2.5</v>
      </c>
    </row>
    <row r="63" spans="1:8" x14ac:dyDescent="0.6">
      <c r="A63" s="27" t="s">
        <v>67</v>
      </c>
      <c r="B63" s="28">
        <v>3.1958333333333333</v>
      </c>
      <c r="C63" s="28">
        <v>2.8433333333333333</v>
      </c>
      <c r="D63" s="28">
        <v>3.0861538461538469</v>
      </c>
      <c r="E63" s="28">
        <v>3.1033333333333335</v>
      </c>
      <c r="F63" s="28"/>
      <c r="G63" s="28">
        <v>3.0571634615384617</v>
      </c>
      <c r="H63" s="29">
        <v>2.5</v>
      </c>
    </row>
    <row r="64" spans="1:8" x14ac:dyDescent="0.6">
      <c r="A64" s="27" t="s">
        <v>68</v>
      </c>
      <c r="B64" s="28">
        <v>3.1841666666666661</v>
      </c>
      <c r="C64" s="28">
        <v>2.785333333333333</v>
      </c>
      <c r="D64" s="28">
        <v>3.0638461538461539</v>
      </c>
      <c r="E64" s="28">
        <v>3.0833333333333335</v>
      </c>
      <c r="F64" s="28"/>
      <c r="G64" s="28">
        <v>3.0291698717948718</v>
      </c>
      <c r="H64" s="29">
        <v>2.5</v>
      </c>
    </row>
    <row r="65" spans="1:8" x14ac:dyDescent="0.6">
      <c r="A65" s="27" t="s">
        <v>69</v>
      </c>
      <c r="B65" s="28">
        <v>3.125833333333333</v>
      </c>
      <c r="C65" s="28">
        <v>2.6428571428571428</v>
      </c>
      <c r="D65" s="28">
        <v>3.0046153846153851</v>
      </c>
      <c r="E65" s="28">
        <v>3.0533333333333332</v>
      </c>
      <c r="F65" s="28"/>
      <c r="G65" s="28">
        <v>2.9566597985347984</v>
      </c>
      <c r="H65" s="29">
        <v>2.25</v>
      </c>
    </row>
    <row r="66" spans="1:8" x14ac:dyDescent="0.6">
      <c r="A66" s="27" t="s">
        <v>70</v>
      </c>
      <c r="B66" s="28">
        <v>3.1225000000000001</v>
      </c>
      <c r="C66" s="28">
        <v>2.6026666666666665</v>
      </c>
      <c r="D66" s="28">
        <v>2.973846153846154</v>
      </c>
      <c r="E66" s="28">
        <v>3.0533333333333332</v>
      </c>
      <c r="F66" s="28"/>
      <c r="G66" s="28">
        <v>2.9380865384615382</v>
      </c>
      <c r="H66" s="29">
        <v>2.25</v>
      </c>
    </row>
    <row r="67" spans="1:8" x14ac:dyDescent="0.6">
      <c r="A67" s="27" t="s">
        <v>71</v>
      </c>
      <c r="B67" s="28">
        <v>3.0691666666666664</v>
      </c>
      <c r="C67" s="28">
        <v>2.595333333333333</v>
      </c>
      <c r="D67" s="28">
        <v>2.9400000000000004</v>
      </c>
      <c r="E67" s="28">
        <v>3.02</v>
      </c>
      <c r="F67" s="28"/>
      <c r="G67" s="28">
        <v>2.9061249999999998</v>
      </c>
      <c r="H67" s="29">
        <v>2.25</v>
      </c>
    </row>
    <row r="68" spans="1:8" x14ac:dyDescent="0.6">
      <c r="A68" s="27" t="s">
        <v>72</v>
      </c>
      <c r="B68" s="28">
        <v>3.061666666666667</v>
      </c>
      <c r="C68" s="28">
        <v>2.5693333333333337</v>
      </c>
      <c r="D68" s="28">
        <v>2.9223076923076925</v>
      </c>
      <c r="E68" s="28">
        <v>3.0283333333333338</v>
      </c>
      <c r="F68" s="28"/>
      <c r="G68" s="28">
        <v>2.8954102564102566</v>
      </c>
      <c r="H68" s="29">
        <v>2.25</v>
      </c>
    </row>
    <row r="69" spans="1:8" x14ac:dyDescent="0.6">
      <c r="A69" s="27" t="s">
        <v>73</v>
      </c>
      <c r="B69" s="28">
        <v>3.0625000000000004</v>
      </c>
      <c r="C69" s="28">
        <v>2.4846666666666666</v>
      </c>
      <c r="D69" s="28">
        <v>2.9525000000000006</v>
      </c>
      <c r="E69" s="28">
        <v>3.0399999999999996</v>
      </c>
      <c r="F69" s="28"/>
      <c r="G69" s="28">
        <v>2.8849166666666668</v>
      </c>
      <c r="H69" s="29">
        <v>2</v>
      </c>
    </row>
    <row r="70" spans="1:8" x14ac:dyDescent="0.6">
      <c r="A70" s="27" t="s">
        <v>74</v>
      </c>
      <c r="B70" s="28">
        <v>3.0625000000000004</v>
      </c>
      <c r="C70" s="28">
        <v>2.4846666666666666</v>
      </c>
      <c r="D70" s="28">
        <v>2.9525000000000006</v>
      </c>
      <c r="E70" s="28">
        <v>3.0399999999999996</v>
      </c>
      <c r="F70" s="28"/>
      <c r="G70" s="28">
        <v>2.8849166666666668</v>
      </c>
      <c r="H70" s="29">
        <v>2</v>
      </c>
    </row>
    <row r="71" spans="1:8" x14ac:dyDescent="0.6">
      <c r="A71" s="27" t="s">
        <v>75</v>
      </c>
      <c r="B71" s="28">
        <v>3.0649999999999999</v>
      </c>
      <c r="C71" s="28">
        <v>2.4066666666666667</v>
      </c>
      <c r="D71" s="28">
        <v>2.8383333333333334</v>
      </c>
      <c r="E71" s="28">
        <v>3.0500000000000003</v>
      </c>
      <c r="F71" s="28"/>
      <c r="G71" s="28">
        <v>2.8400000000000003</v>
      </c>
      <c r="H71" s="29">
        <v>2</v>
      </c>
    </row>
    <row r="72" spans="1:8" x14ac:dyDescent="0.6">
      <c r="A72" s="27" t="s">
        <v>76</v>
      </c>
      <c r="B72" s="28">
        <v>3.01</v>
      </c>
      <c r="C72" s="28">
        <v>2.39</v>
      </c>
      <c r="D72" s="28">
        <v>2.82</v>
      </c>
      <c r="E72" s="28">
        <v>2.95</v>
      </c>
      <c r="F72" s="28"/>
      <c r="G72" s="28">
        <v>2.7925000000000004</v>
      </c>
      <c r="H72" s="29">
        <v>2</v>
      </c>
    </row>
    <row r="73" spans="1:8" x14ac:dyDescent="0.6">
      <c r="A73" s="30">
        <v>42005</v>
      </c>
      <c r="B73" s="28">
        <v>2.96</v>
      </c>
      <c r="C73" s="28">
        <v>2.39</v>
      </c>
      <c r="D73" s="28">
        <v>2.74</v>
      </c>
      <c r="E73" s="28">
        <v>2.85</v>
      </c>
      <c r="F73" s="28"/>
      <c r="G73" s="28">
        <v>2.7349999999999999</v>
      </c>
      <c r="H73" s="29">
        <v>2</v>
      </c>
    </row>
    <row r="74" spans="1:8" x14ac:dyDescent="0.6">
      <c r="A74" s="30">
        <v>42036</v>
      </c>
      <c r="B74" s="28">
        <v>2.86</v>
      </c>
      <c r="C74" s="28">
        <v>2.23</v>
      </c>
      <c r="D74" s="28">
        <v>2.65</v>
      </c>
      <c r="E74" s="28">
        <v>2.76</v>
      </c>
      <c r="F74" s="28"/>
      <c r="G74" s="28">
        <v>2.625</v>
      </c>
      <c r="H74" s="29">
        <v>2</v>
      </c>
    </row>
    <row r="75" spans="1:8" x14ac:dyDescent="0.6">
      <c r="A75" s="30">
        <v>42064</v>
      </c>
      <c r="B75" s="28">
        <v>2.82</v>
      </c>
      <c r="C75" s="28">
        <v>2.23</v>
      </c>
      <c r="D75" s="28">
        <v>2.61</v>
      </c>
      <c r="E75" s="28">
        <v>2.72</v>
      </c>
      <c r="F75" s="28"/>
      <c r="G75" s="28">
        <v>2.5950000000000002</v>
      </c>
      <c r="H75" s="29">
        <v>1.75</v>
      </c>
    </row>
    <row r="76" spans="1:8" x14ac:dyDescent="0.6">
      <c r="A76" s="30">
        <v>42095</v>
      </c>
      <c r="B76" s="28">
        <v>2.6</v>
      </c>
      <c r="C76" s="28">
        <v>2.0099999999999998</v>
      </c>
      <c r="D76" s="28">
        <v>2.54</v>
      </c>
      <c r="E76" s="28">
        <v>2.61</v>
      </c>
      <c r="F76" s="28"/>
      <c r="G76" s="28">
        <v>2.44</v>
      </c>
      <c r="H76" s="29">
        <v>1.75</v>
      </c>
    </row>
    <row r="77" spans="1:8" x14ac:dyDescent="0.6">
      <c r="A77" s="30">
        <v>42125</v>
      </c>
      <c r="B77" s="28">
        <v>2.5499999999999998</v>
      </c>
      <c r="C77" s="28">
        <v>1.92</v>
      </c>
      <c r="D77" s="28">
        <v>2.4500000000000002</v>
      </c>
      <c r="E77" s="28">
        <v>2.5099999999999998</v>
      </c>
      <c r="F77" s="28"/>
      <c r="G77" s="28">
        <v>2.3574999999999999</v>
      </c>
      <c r="H77" s="29">
        <v>1.75</v>
      </c>
    </row>
    <row r="78" spans="1:8" x14ac:dyDescent="0.6">
      <c r="A78" s="30">
        <v>42156</v>
      </c>
      <c r="B78" s="28">
        <v>2.58</v>
      </c>
      <c r="C78" s="28">
        <v>1.95</v>
      </c>
      <c r="D78" s="28">
        <v>2.4700000000000002</v>
      </c>
      <c r="E78" s="28">
        <v>2.5</v>
      </c>
      <c r="F78" s="28"/>
      <c r="G78" s="28">
        <v>2.375</v>
      </c>
      <c r="H78" s="29">
        <v>1.5</v>
      </c>
    </row>
    <row r="79" spans="1:8" x14ac:dyDescent="0.6">
      <c r="A79" s="30">
        <v>42186</v>
      </c>
      <c r="B79" s="28">
        <v>2.3199999999999998</v>
      </c>
      <c r="C79" s="28">
        <v>1.81</v>
      </c>
      <c r="D79" s="28">
        <v>2.4700000000000002</v>
      </c>
      <c r="E79" s="28">
        <v>2.4700000000000002</v>
      </c>
      <c r="F79" s="28"/>
      <c r="G79" s="28">
        <v>2.2675000000000001</v>
      </c>
      <c r="H79" s="29">
        <v>1.5</v>
      </c>
    </row>
    <row r="80" spans="1:8" x14ac:dyDescent="0.6">
      <c r="A80" s="30">
        <v>42217</v>
      </c>
      <c r="B80" s="28">
        <v>2.25</v>
      </c>
      <c r="C80" s="28">
        <v>1.75</v>
      </c>
      <c r="D80" s="28">
        <v>2.4300000000000002</v>
      </c>
      <c r="E80" s="28">
        <v>2.44</v>
      </c>
      <c r="F80" s="28"/>
      <c r="G80" s="28">
        <v>2.2174999999999998</v>
      </c>
      <c r="H80" s="29">
        <v>1.5</v>
      </c>
    </row>
    <row r="81" spans="1:8" x14ac:dyDescent="0.6">
      <c r="A81" s="30">
        <v>42248</v>
      </c>
      <c r="B81" s="28">
        <v>2.23</v>
      </c>
      <c r="C81" s="28">
        <v>1.75</v>
      </c>
      <c r="D81" s="28">
        <v>2.4</v>
      </c>
      <c r="E81" s="28">
        <v>2.38</v>
      </c>
      <c r="F81" s="28"/>
      <c r="G81" s="28">
        <v>2.19</v>
      </c>
      <c r="H81" s="29">
        <v>1.5</v>
      </c>
    </row>
    <row r="82" spans="1:8" x14ac:dyDescent="0.6">
      <c r="A82" s="30">
        <v>42278</v>
      </c>
      <c r="B82" s="28">
        <v>2.2000000000000002</v>
      </c>
      <c r="C82" s="28">
        <v>1.73</v>
      </c>
      <c r="D82" s="28">
        <v>2.37</v>
      </c>
      <c r="E82" s="28">
        <v>2.36</v>
      </c>
      <c r="F82" s="28"/>
      <c r="G82" s="28">
        <v>2.165</v>
      </c>
      <c r="H82" s="29">
        <v>1.5</v>
      </c>
    </row>
    <row r="83" spans="1:8" x14ac:dyDescent="0.6">
      <c r="A83" s="30">
        <v>42309</v>
      </c>
      <c r="B83" s="28">
        <v>2.25</v>
      </c>
      <c r="C83" s="28">
        <v>1.74</v>
      </c>
      <c r="D83" s="28">
        <v>2.34</v>
      </c>
      <c r="E83" s="28">
        <v>2.33</v>
      </c>
      <c r="F83" s="28"/>
      <c r="G83" s="28">
        <v>2.165</v>
      </c>
      <c r="H83" s="29">
        <v>1.5</v>
      </c>
    </row>
    <row r="84" spans="1:8" x14ac:dyDescent="0.6">
      <c r="A84" s="30">
        <v>42339</v>
      </c>
      <c r="B84" s="28">
        <v>2.4</v>
      </c>
      <c r="C84" s="28">
        <v>1.87</v>
      </c>
      <c r="D84" s="28">
        <v>2.4</v>
      </c>
      <c r="E84" s="28">
        <v>2.4</v>
      </c>
      <c r="F84" s="28"/>
      <c r="G84" s="28">
        <v>2.2675000000000001</v>
      </c>
      <c r="H84" s="29">
        <v>1.5</v>
      </c>
    </row>
    <row r="85" spans="1:8" x14ac:dyDescent="0.6">
      <c r="A85" s="30">
        <v>42370</v>
      </c>
      <c r="B85" s="28">
        <v>2.31</v>
      </c>
      <c r="C85" s="28">
        <v>1.85</v>
      </c>
      <c r="D85" s="28">
        <v>2.33</v>
      </c>
      <c r="E85" s="28">
        <v>2.3199999999999998</v>
      </c>
      <c r="F85" s="28"/>
      <c r="G85" s="28">
        <v>2.2025000000000001</v>
      </c>
      <c r="H85" s="29">
        <v>1.5</v>
      </c>
    </row>
    <row r="86" spans="1:8" x14ac:dyDescent="0.6">
      <c r="A86" s="30">
        <v>42401</v>
      </c>
      <c r="B86" s="28">
        <v>2.2400000000000002</v>
      </c>
      <c r="C86" s="28">
        <v>1.77</v>
      </c>
      <c r="D86" s="28">
        <v>2.2799999999999998</v>
      </c>
      <c r="E86" s="28">
        <v>2.2799999999999998</v>
      </c>
      <c r="F86" s="28"/>
      <c r="G86" s="28">
        <v>2.1424999999999996</v>
      </c>
      <c r="H86" s="29">
        <v>1.5</v>
      </c>
    </row>
    <row r="87" spans="1:8" x14ac:dyDescent="0.6">
      <c r="A87" s="30">
        <v>42430</v>
      </c>
      <c r="B87" s="28">
        <v>2.14</v>
      </c>
      <c r="C87" s="28">
        <v>1.66</v>
      </c>
      <c r="D87" s="28">
        <v>2.2400000000000002</v>
      </c>
      <c r="E87" s="28">
        <v>2.2400000000000002</v>
      </c>
      <c r="F87" s="28"/>
      <c r="G87" s="28">
        <v>2.0700000000000003</v>
      </c>
      <c r="H87" s="29">
        <v>1.5</v>
      </c>
    </row>
    <row r="88" spans="1:8" x14ac:dyDescent="0.6">
      <c r="A88" s="30">
        <v>42461</v>
      </c>
      <c r="B88" s="28">
        <v>2.15</v>
      </c>
      <c r="C88" s="28">
        <v>1.69</v>
      </c>
      <c r="D88" s="28">
        <v>2.25</v>
      </c>
      <c r="E88" s="28">
        <v>2.23</v>
      </c>
      <c r="F88" s="28"/>
      <c r="G88" s="28">
        <v>2.08</v>
      </c>
      <c r="H88" s="29">
        <v>1.5</v>
      </c>
    </row>
    <row r="89" spans="1:8" x14ac:dyDescent="0.6">
      <c r="A89" s="30">
        <v>42491</v>
      </c>
      <c r="B89" s="28">
        <v>2.17</v>
      </c>
      <c r="C89" s="28">
        <v>1.66</v>
      </c>
      <c r="D89" s="28">
        <v>2.2200000000000002</v>
      </c>
      <c r="E89" s="28">
        <v>2.23</v>
      </c>
      <c r="F89" s="28"/>
      <c r="G89" s="28">
        <v>2.0700000000000003</v>
      </c>
      <c r="H89" s="29">
        <v>1.5</v>
      </c>
    </row>
    <row r="90" spans="1:8" x14ac:dyDescent="0.6">
      <c r="A90" s="30">
        <v>42522</v>
      </c>
      <c r="B90" s="28">
        <v>2.1800000000000002</v>
      </c>
      <c r="C90" s="28">
        <v>1.66</v>
      </c>
      <c r="D90" s="28">
        <v>2.2400000000000002</v>
      </c>
      <c r="E90" s="28">
        <v>2.21</v>
      </c>
      <c r="F90" s="28"/>
      <c r="G90" s="28">
        <v>2.0724999999999998</v>
      </c>
      <c r="H90" s="29">
        <v>1.25</v>
      </c>
    </row>
    <row r="91" spans="1:8" x14ac:dyDescent="0.6">
      <c r="A91" s="30">
        <v>42552</v>
      </c>
      <c r="B91" s="28">
        <v>1.96</v>
      </c>
      <c r="C91" s="28">
        <v>1.46</v>
      </c>
      <c r="D91" s="28">
        <v>2.12</v>
      </c>
      <c r="E91" s="28">
        <v>2.15</v>
      </c>
      <c r="F91" s="28"/>
      <c r="G91" s="28">
        <v>1.9224999999999999</v>
      </c>
      <c r="H91" s="29">
        <v>1.25</v>
      </c>
    </row>
    <row r="92" spans="1:8" x14ac:dyDescent="0.6">
      <c r="A92" s="30">
        <v>42583</v>
      </c>
      <c r="B92" s="28">
        <v>1.96</v>
      </c>
      <c r="C92" s="28">
        <v>1.4</v>
      </c>
      <c r="D92" s="28">
        <v>2.0499999999999998</v>
      </c>
      <c r="E92" s="28">
        <v>2.08</v>
      </c>
      <c r="F92" s="28"/>
      <c r="G92" s="28">
        <v>1.8725000000000001</v>
      </c>
      <c r="H92" s="29">
        <v>1.25</v>
      </c>
    </row>
    <row r="93" spans="1:8" x14ac:dyDescent="0.6">
      <c r="A93" s="30">
        <v>42614</v>
      </c>
      <c r="B93" s="28">
        <v>1.91</v>
      </c>
      <c r="C93" s="28">
        <v>1.39</v>
      </c>
      <c r="D93" s="28">
        <v>2.02</v>
      </c>
      <c r="E93" s="28">
        <v>2.0099999999999998</v>
      </c>
      <c r="F93" s="28"/>
      <c r="G93" s="28">
        <v>1.8325</v>
      </c>
      <c r="H93" s="29">
        <v>1.25</v>
      </c>
    </row>
    <row r="94" spans="1:8" x14ac:dyDescent="0.6">
      <c r="A94" s="30">
        <v>42644</v>
      </c>
      <c r="B94" s="28">
        <v>1.92</v>
      </c>
      <c r="C94" s="28">
        <v>1.45</v>
      </c>
      <c r="D94" s="28">
        <v>2.0099999999999998</v>
      </c>
      <c r="E94" s="28">
        <v>2.0099999999999998</v>
      </c>
      <c r="F94" s="28"/>
      <c r="G94" s="28">
        <v>1.8474999999999999</v>
      </c>
      <c r="H94" s="29">
        <v>1.25</v>
      </c>
    </row>
    <row r="95" spans="1:8" x14ac:dyDescent="0.6">
      <c r="A95" s="30">
        <v>42675</v>
      </c>
      <c r="B95" s="28">
        <v>1.93</v>
      </c>
      <c r="C95" s="28">
        <v>1.53</v>
      </c>
      <c r="D95" s="28">
        <v>2.0099999999999998</v>
      </c>
      <c r="E95" s="28">
        <v>2.02</v>
      </c>
      <c r="F95" s="28"/>
      <c r="G95" s="28">
        <v>1.8725000000000001</v>
      </c>
      <c r="H95" s="29">
        <v>1.25</v>
      </c>
    </row>
    <row r="96" spans="1:8" x14ac:dyDescent="0.6">
      <c r="A96" s="30">
        <v>42705</v>
      </c>
      <c r="B96" s="28">
        <v>2.0099999999999998</v>
      </c>
      <c r="C96" s="28">
        <v>1.66</v>
      </c>
      <c r="D96" s="28">
        <v>2.11</v>
      </c>
      <c r="E96" s="28">
        <v>2.12</v>
      </c>
      <c r="F96" s="28"/>
      <c r="G96" s="28">
        <v>1.9749999999999999</v>
      </c>
      <c r="H96" s="29">
        <v>1.25</v>
      </c>
    </row>
    <row r="97" spans="1:8" x14ac:dyDescent="0.6">
      <c r="A97" s="30">
        <v>42736</v>
      </c>
      <c r="B97" s="28">
        <v>2.0699999999999998</v>
      </c>
      <c r="C97" s="28">
        <v>1.59</v>
      </c>
      <c r="D97" s="28">
        <v>2.04</v>
      </c>
      <c r="E97" s="28">
        <v>2.0699999999999998</v>
      </c>
      <c r="F97" s="28"/>
      <c r="G97" s="28">
        <v>1.9424999999999999</v>
      </c>
      <c r="H97" s="29">
        <v>1.25</v>
      </c>
    </row>
    <row r="98" spans="1:8" x14ac:dyDescent="0.6">
      <c r="A98" s="30">
        <v>42767</v>
      </c>
      <c r="B98" s="28">
        <v>2.0299999999999998</v>
      </c>
      <c r="C98" s="28">
        <v>1.48</v>
      </c>
      <c r="D98" s="28">
        <v>2.0099999999999998</v>
      </c>
      <c r="E98" s="28">
        <v>2.0299999999999998</v>
      </c>
      <c r="F98" s="28"/>
      <c r="G98" s="28">
        <v>1.8874999999999997</v>
      </c>
      <c r="H98" s="29">
        <v>1.25</v>
      </c>
    </row>
    <row r="99" spans="1:8" x14ac:dyDescent="0.6">
      <c r="A99" s="30">
        <v>42795</v>
      </c>
      <c r="B99" s="28">
        <v>1.95</v>
      </c>
      <c r="C99" s="28">
        <v>1.45</v>
      </c>
      <c r="D99" s="28">
        <v>2.0099999999999998</v>
      </c>
      <c r="E99" s="28">
        <v>2.0299999999999998</v>
      </c>
      <c r="F99" s="28"/>
      <c r="G99" s="28">
        <v>1.8599999999999999</v>
      </c>
      <c r="H99" s="29">
        <v>1.25</v>
      </c>
    </row>
    <row r="100" spans="1:8" x14ac:dyDescent="0.6">
      <c r="A100" s="30">
        <v>42826</v>
      </c>
      <c r="B100" s="28">
        <v>1.98</v>
      </c>
      <c r="C100" s="28">
        <v>1.47</v>
      </c>
      <c r="D100" s="28">
        <v>1.99</v>
      </c>
      <c r="E100" s="28">
        <v>2.04</v>
      </c>
      <c r="F100" s="28"/>
      <c r="G100" s="28">
        <v>1.87</v>
      </c>
      <c r="H100" s="29">
        <v>1.25</v>
      </c>
    </row>
    <row r="101" spans="1:8" x14ac:dyDescent="0.6">
      <c r="A101" s="30">
        <v>42856</v>
      </c>
      <c r="B101" s="28">
        <v>1.97</v>
      </c>
      <c r="C101" s="28">
        <v>1.44</v>
      </c>
      <c r="D101" s="28">
        <v>1.96</v>
      </c>
      <c r="E101" s="28">
        <v>2.0499999999999998</v>
      </c>
      <c r="F101" s="28"/>
      <c r="G101" s="28">
        <v>1.855</v>
      </c>
      <c r="H101" s="29">
        <v>1.25</v>
      </c>
    </row>
    <row r="102" spans="1:8" x14ac:dyDescent="0.6">
      <c r="A102" s="30">
        <v>42887</v>
      </c>
      <c r="B102" s="28">
        <v>1.96</v>
      </c>
      <c r="C102" s="28">
        <v>1.41</v>
      </c>
      <c r="D102" s="28">
        <v>1.98</v>
      </c>
      <c r="E102" s="28">
        <v>2.0499999999999998</v>
      </c>
      <c r="F102" s="28"/>
      <c r="G102" s="28">
        <v>1.8499999999999999</v>
      </c>
      <c r="H102" s="29">
        <v>1.25</v>
      </c>
    </row>
    <row r="103" spans="1:8" x14ac:dyDescent="0.6">
      <c r="A103" s="30">
        <v>42917</v>
      </c>
      <c r="B103" s="28">
        <v>1.99</v>
      </c>
      <c r="C103" s="28">
        <v>1.41</v>
      </c>
      <c r="D103" s="28">
        <v>1.94</v>
      </c>
      <c r="E103" s="28">
        <v>2.04</v>
      </c>
      <c r="F103" s="28"/>
      <c r="G103" s="28">
        <v>1.845</v>
      </c>
      <c r="H103" s="29">
        <v>1.25</v>
      </c>
    </row>
    <row r="104" spans="1:8" x14ac:dyDescent="0.6">
      <c r="A104" s="30">
        <v>42948</v>
      </c>
      <c r="B104" s="28">
        <v>1.96</v>
      </c>
      <c r="C104" s="28">
        <v>1.41</v>
      </c>
      <c r="D104" s="28">
        <v>1.94</v>
      </c>
      <c r="E104" s="28">
        <v>2.06</v>
      </c>
      <c r="F104" s="28"/>
      <c r="G104" s="28">
        <v>1.8425000000000002</v>
      </c>
      <c r="H104" s="29">
        <v>1.25</v>
      </c>
    </row>
    <row r="105" spans="1:8" x14ac:dyDescent="0.6">
      <c r="A105" s="30">
        <v>42979</v>
      </c>
      <c r="B105" s="28">
        <v>1.97</v>
      </c>
      <c r="C105" s="28">
        <v>1.45</v>
      </c>
      <c r="D105" s="28">
        <v>1.94</v>
      </c>
      <c r="E105" s="28">
        <v>2.06</v>
      </c>
      <c r="F105" s="28"/>
      <c r="G105" s="28">
        <v>1.855</v>
      </c>
      <c r="H105" s="29">
        <v>1.25</v>
      </c>
    </row>
    <row r="106" spans="1:8" x14ac:dyDescent="0.6">
      <c r="A106" s="30">
        <v>43009</v>
      </c>
      <c r="B106" s="28">
        <v>1.96</v>
      </c>
      <c r="C106" s="28">
        <v>1.45</v>
      </c>
      <c r="D106" s="28">
        <v>1.95</v>
      </c>
      <c r="E106" s="28">
        <v>2.08</v>
      </c>
      <c r="F106" s="28"/>
      <c r="G106" s="28">
        <v>1.86</v>
      </c>
      <c r="H106" s="29">
        <v>1.25</v>
      </c>
    </row>
    <row r="107" spans="1:8" x14ac:dyDescent="0.6">
      <c r="A107" s="30">
        <v>43040</v>
      </c>
      <c r="B107" s="28">
        <v>1.98</v>
      </c>
      <c r="C107" s="28">
        <v>1.63</v>
      </c>
      <c r="D107" s="28">
        <v>2.0099999999999998</v>
      </c>
      <c r="E107" s="28">
        <v>2.09</v>
      </c>
      <c r="F107" s="28"/>
      <c r="G107" s="28">
        <v>1.9274999999999998</v>
      </c>
      <c r="H107" s="29">
        <v>1.25</v>
      </c>
    </row>
    <row r="108" spans="1:8" x14ac:dyDescent="0.6">
      <c r="A108" s="30">
        <v>43070</v>
      </c>
      <c r="B108" s="28">
        <v>2.06</v>
      </c>
      <c r="C108" s="28">
        <v>1.74</v>
      </c>
      <c r="D108" s="28">
        <v>2.11</v>
      </c>
      <c r="E108" s="28">
        <v>2.1800000000000002</v>
      </c>
      <c r="F108" s="28"/>
      <c r="G108" s="28">
        <v>2.0225</v>
      </c>
      <c r="H108" s="29">
        <v>1.5</v>
      </c>
    </row>
    <row r="109" spans="1:8" x14ac:dyDescent="0.6">
      <c r="A109" s="30">
        <v>43101</v>
      </c>
      <c r="B109" s="28">
        <v>2.0699999999999998</v>
      </c>
      <c r="C109" s="28">
        <v>1.73</v>
      </c>
      <c r="D109" s="28">
        <v>2.0499999999999998</v>
      </c>
      <c r="E109" s="28">
        <v>2.14</v>
      </c>
      <c r="F109" s="28"/>
      <c r="G109" s="28">
        <v>1.9975000000000001</v>
      </c>
      <c r="H109" s="29">
        <v>1.5</v>
      </c>
    </row>
    <row r="110" spans="1:8" x14ac:dyDescent="0.6">
      <c r="A110" s="30">
        <v>43132</v>
      </c>
      <c r="B110" s="28">
        <v>2.04</v>
      </c>
      <c r="C110" s="28">
        <v>1.69</v>
      </c>
      <c r="D110" s="28">
        <v>2.06</v>
      </c>
      <c r="E110" s="28">
        <v>2.15</v>
      </c>
      <c r="F110" s="28"/>
      <c r="G110" s="28">
        <v>1.9849999999999999</v>
      </c>
      <c r="H110" s="29">
        <v>1.5</v>
      </c>
    </row>
    <row r="111" spans="1:8" x14ac:dyDescent="0.6">
      <c r="A111" s="30">
        <v>43160</v>
      </c>
      <c r="B111" s="22">
        <v>2.0374999999999996</v>
      </c>
      <c r="C111" s="22">
        <v>1.7446666666666668</v>
      </c>
      <c r="D111" s="22">
        <v>2.0883333333333334</v>
      </c>
      <c r="E111" s="22">
        <v>2.1666666666666665</v>
      </c>
      <c r="F111" s="22"/>
      <c r="G111" s="28">
        <v>2.0092916666666665</v>
      </c>
      <c r="H111" s="29">
        <v>1.5</v>
      </c>
    </row>
    <row r="112" spans="1:8" x14ac:dyDescent="0.6">
      <c r="A112" s="30">
        <v>43191</v>
      </c>
      <c r="B112" s="22">
        <v>2.0649999999999999</v>
      </c>
      <c r="C112" s="22">
        <v>1.8114285714285716</v>
      </c>
      <c r="D112" s="22">
        <v>2.11</v>
      </c>
      <c r="E112" s="22">
        <v>2.1816666666666666</v>
      </c>
      <c r="F112" s="22"/>
      <c r="G112" s="28">
        <v>2.0420238095238097</v>
      </c>
      <c r="H112" s="29">
        <v>1.5</v>
      </c>
    </row>
    <row r="113" spans="1:8" x14ac:dyDescent="0.6">
      <c r="A113" s="30">
        <v>43221</v>
      </c>
      <c r="B113" s="22">
        <v>2.1329999999999996</v>
      </c>
      <c r="C113" s="22">
        <v>1.7773333333333334</v>
      </c>
      <c r="D113" s="22">
        <v>2.1083333333333334</v>
      </c>
      <c r="E113" s="22">
        <v>2.1749999999999994</v>
      </c>
      <c r="F113" s="22"/>
      <c r="G113" s="28">
        <v>2.0484166666666663</v>
      </c>
      <c r="H113" s="29">
        <v>1.5</v>
      </c>
    </row>
    <row r="114" spans="1:8" x14ac:dyDescent="0.6">
      <c r="A114" s="30">
        <v>43252</v>
      </c>
      <c r="B114" s="22">
        <v>2.1599999999999997</v>
      </c>
      <c r="C114" s="22">
        <v>1.8093333333333337</v>
      </c>
      <c r="D114" s="22">
        <v>2.1433333333333335</v>
      </c>
      <c r="E114" s="22">
        <v>2.1966666666666668</v>
      </c>
      <c r="F114" s="22"/>
      <c r="G114" s="28">
        <v>2.0773333333333333</v>
      </c>
      <c r="H114" s="29">
        <v>1.5</v>
      </c>
    </row>
    <row r="115" spans="1:8" x14ac:dyDescent="0.6">
      <c r="A115" s="30">
        <v>43282</v>
      </c>
      <c r="B115" s="22">
        <v>2.1799999999999997</v>
      </c>
      <c r="C115" s="22">
        <v>1.857142857142857</v>
      </c>
      <c r="D115" s="22">
        <v>2.1183333333333336</v>
      </c>
      <c r="E115" s="22">
        <v>2.1850000000000001</v>
      </c>
      <c r="F115" s="22"/>
      <c r="G115" s="28">
        <v>2.0851190476190475</v>
      </c>
      <c r="H115" s="29">
        <v>1.5</v>
      </c>
    </row>
    <row r="116" spans="1:8" x14ac:dyDescent="0.6">
      <c r="A116" s="30">
        <v>43313</v>
      </c>
      <c r="B116" s="22">
        <v>2.2149999999999999</v>
      </c>
      <c r="C116" s="22">
        <v>1.8435714285714282</v>
      </c>
      <c r="D116" s="22">
        <v>2.1</v>
      </c>
      <c r="E116" s="22">
        <v>2.1783333333333332</v>
      </c>
      <c r="F116" s="22"/>
      <c r="G116" s="28">
        <v>2.0842261904761901</v>
      </c>
      <c r="H116" s="29">
        <v>1.5</v>
      </c>
    </row>
    <row r="117" spans="1:8" x14ac:dyDescent="0.6">
      <c r="A117" s="30">
        <v>43344</v>
      </c>
      <c r="B117" s="22">
        <v>2.2480000000000002</v>
      </c>
      <c r="C117" s="22">
        <v>1.8328571428571432</v>
      </c>
      <c r="D117" s="22">
        <v>2.0974999999999997</v>
      </c>
      <c r="E117" s="22">
        <v>2.1750000000000003</v>
      </c>
      <c r="F117" s="22"/>
      <c r="G117" s="28">
        <v>2.088339285714286</v>
      </c>
      <c r="H117" s="29">
        <v>1.5</v>
      </c>
    </row>
    <row r="118" spans="1:8" x14ac:dyDescent="0.6">
      <c r="A118" s="30">
        <v>43374</v>
      </c>
      <c r="B118" s="22">
        <v>2.266</v>
      </c>
      <c r="C118" s="22">
        <v>1.8928571428571428</v>
      </c>
      <c r="D118" s="22">
        <v>2.1</v>
      </c>
      <c r="E118" s="22">
        <v>2.1783333333333332</v>
      </c>
      <c r="F118" s="22"/>
      <c r="G118" s="28">
        <v>2.1092976190476187</v>
      </c>
      <c r="H118" s="29">
        <v>1.5</v>
      </c>
    </row>
    <row r="119" spans="1:8" x14ac:dyDescent="0.6">
      <c r="A119" s="30">
        <v>43405</v>
      </c>
      <c r="B119" s="22">
        <v>2.3360000000000003</v>
      </c>
      <c r="C119" s="22">
        <v>1.9685714285714282</v>
      </c>
      <c r="D119" s="22">
        <v>2.1616666666666666</v>
      </c>
      <c r="E119" s="22">
        <v>2.2183333333333333</v>
      </c>
      <c r="F119" s="22"/>
      <c r="G119" s="28">
        <v>2.1711428571428573</v>
      </c>
      <c r="H119" s="29">
        <v>1.5</v>
      </c>
    </row>
    <row r="120" spans="1:8" x14ac:dyDescent="0.6">
      <c r="A120" s="30">
        <v>43435</v>
      </c>
      <c r="B120" s="22">
        <v>2.4009999999999998</v>
      </c>
      <c r="C120" s="22">
        <v>1.9928571428571427</v>
      </c>
      <c r="D120" s="22">
        <v>2.2683333333333331</v>
      </c>
      <c r="E120" s="22">
        <v>2.3583333333333329</v>
      </c>
      <c r="F120" s="22"/>
      <c r="G120" s="28">
        <v>2.2551309523809522</v>
      </c>
      <c r="H120" s="29">
        <v>1.75</v>
      </c>
    </row>
    <row r="121" spans="1:8" x14ac:dyDescent="0.6">
      <c r="A121" s="30">
        <v>43466</v>
      </c>
      <c r="B121" s="22">
        <v>2.3519999999999999</v>
      </c>
      <c r="C121" s="22">
        <v>2.0107692307692306</v>
      </c>
      <c r="D121" s="22">
        <v>2.1391666666666667</v>
      </c>
      <c r="E121" s="22">
        <v>2.2266666666666666</v>
      </c>
      <c r="F121" s="22"/>
      <c r="G121" s="28">
        <v>2.182150641025641</v>
      </c>
      <c r="H121" s="29">
        <v>1.75</v>
      </c>
    </row>
    <row r="122" spans="1:8" x14ac:dyDescent="0.6">
      <c r="A122" s="30">
        <v>43497</v>
      </c>
      <c r="B122" s="22">
        <v>2.3559999999999999</v>
      </c>
      <c r="C122" s="22">
        <v>1.9878571428571425</v>
      </c>
      <c r="D122" s="22">
        <v>2.1218181818181816</v>
      </c>
      <c r="E122" s="22">
        <v>2.23</v>
      </c>
      <c r="F122" s="22"/>
      <c r="G122" s="28">
        <v>2.1739188311688311</v>
      </c>
      <c r="H122" s="29">
        <v>1.75</v>
      </c>
    </row>
    <row r="123" spans="1:8" x14ac:dyDescent="0.6">
      <c r="A123" s="30">
        <v>43525</v>
      </c>
      <c r="B123" s="22">
        <v>2.39</v>
      </c>
      <c r="C123" s="22">
        <v>2.0142857142857142</v>
      </c>
      <c r="D123" s="22">
        <v>2.1827272727272726</v>
      </c>
      <c r="E123" s="22">
        <v>2.2349999999999999</v>
      </c>
      <c r="F123" s="22">
        <v>2.2833333333333337</v>
      </c>
      <c r="G123" s="28">
        <v>2.2055032467532469</v>
      </c>
      <c r="H123" s="29">
        <v>1.75</v>
      </c>
    </row>
    <row r="124" spans="1:8" x14ac:dyDescent="0.6">
      <c r="A124" s="30">
        <v>43556</v>
      </c>
      <c r="B124" s="22">
        <v>2.416363636363636</v>
      </c>
      <c r="C124" s="22">
        <v>2.016428571428571</v>
      </c>
      <c r="D124" s="22">
        <v>2.1945454545454548</v>
      </c>
      <c r="E124" s="22">
        <v>2.2666666666666662</v>
      </c>
      <c r="F124" s="22">
        <v>2.3028571428571429</v>
      </c>
      <c r="G124" s="28">
        <v>2.2235010822510821</v>
      </c>
      <c r="H124" s="29">
        <v>1.75</v>
      </c>
    </row>
    <row r="125" spans="1:8" x14ac:dyDescent="0.6">
      <c r="A125" s="30">
        <v>43586</v>
      </c>
      <c r="B125" s="22">
        <v>2.42</v>
      </c>
      <c r="C125" s="22">
        <v>1.9892307692307694</v>
      </c>
      <c r="D125" s="22">
        <v>2.186363636363637</v>
      </c>
      <c r="E125" s="22">
        <v>2.2883333333333336</v>
      </c>
      <c r="F125" s="22">
        <v>2.4119999999999999</v>
      </c>
      <c r="G125" s="28">
        <v>2.2209819347319351</v>
      </c>
      <c r="H125" s="29">
        <v>1.75</v>
      </c>
    </row>
    <row r="126" spans="1:8" x14ac:dyDescent="0.6">
      <c r="A126" s="30">
        <v>43617</v>
      </c>
      <c r="B126" s="22">
        <v>2.3941666666666666</v>
      </c>
      <c r="C126" s="22">
        <v>1.9707142857142854</v>
      </c>
      <c r="D126" s="22">
        <v>2.2490909090909095</v>
      </c>
      <c r="E126" s="22">
        <v>2.3483333333333332</v>
      </c>
      <c r="F126" s="22">
        <v>2.5019999999999998</v>
      </c>
      <c r="G126" s="28">
        <v>2.2405762987012987</v>
      </c>
      <c r="H126" s="29">
        <v>1.75</v>
      </c>
    </row>
    <row r="127" spans="1:8" x14ac:dyDescent="0.6">
      <c r="A127" s="30">
        <v>43647</v>
      </c>
      <c r="B127" s="22">
        <v>2.3053846153846154</v>
      </c>
      <c r="C127" s="22">
        <v>1.888571428571429</v>
      </c>
      <c r="D127" s="22">
        <v>2.2716666666666665</v>
      </c>
      <c r="E127" s="22">
        <v>2.2716666666666665</v>
      </c>
      <c r="F127" s="22">
        <v>2.561818181818182</v>
      </c>
      <c r="G127" s="28">
        <v>2.1843223443223443</v>
      </c>
      <c r="H127" s="29">
        <v>1.5</v>
      </c>
    </row>
    <row r="128" spans="1:8" x14ac:dyDescent="0.6">
      <c r="A128" s="30">
        <v>43678</v>
      </c>
      <c r="B128" s="22">
        <v>2.1946153846153846</v>
      </c>
      <c r="C128" s="22">
        <v>1.6892857142857145</v>
      </c>
      <c r="D128" s="22">
        <v>2.1409090909090911</v>
      </c>
      <c r="E128" s="22">
        <v>2.2550000000000003</v>
      </c>
      <c r="F128" s="22">
        <v>2.583636363636364</v>
      </c>
      <c r="G128" s="28">
        <v>2.0699525474525475</v>
      </c>
      <c r="H128" s="29">
        <v>1.5</v>
      </c>
    </row>
    <row r="129" spans="1:8" x14ac:dyDescent="0.6">
      <c r="A129" s="30">
        <v>43709</v>
      </c>
      <c r="B129" s="22">
        <v>2.0516666666666663</v>
      </c>
      <c r="C129" s="22">
        <v>1.5850000000000002</v>
      </c>
      <c r="D129" s="22">
        <v>2.0672727272727274</v>
      </c>
      <c r="E129" s="22">
        <v>2.16</v>
      </c>
      <c r="F129" s="22">
        <v>2.583636363636364</v>
      </c>
      <c r="G129" s="28">
        <v>1.9659848484848486</v>
      </c>
      <c r="H129" s="29">
        <v>1.5</v>
      </c>
    </row>
    <row r="130" spans="1:8" x14ac:dyDescent="0.6">
      <c r="A130" s="30">
        <v>43739</v>
      </c>
      <c r="B130" s="22">
        <v>2.1166666666666667</v>
      </c>
      <c r="C130" s="22">
        <v>1.7535714285714288</v>
      </c>
      <c r="D130" s="22">
        <v>2.0736363636363637</v>
      </c>
      <c r="E130" s="22">
        <v>2.1366666666666667</v>
      </c>
      <c r="F130" s="22">
        <v>2.5390909090909091</v>
      </c>
      <c r="G130" s="28">
        <v>2.0201352813852815</v>
      </c>
      <c r="H130" s="29">
        <v>1.25</v>
      </c>
    </row>
    <row r="131" spans="1:8" x14ac:dyDescent="0.6">
      <c r="A131" s="30">
        <v>43770</v>
      </c>
      <c r="B131" s="22">
        <v>2.1324999999999998</v>
      </c>
      <c r="C131" s="22">
        <v>1.7328571428571427</v>
      </c>
      <c r="D131" s="22">
        <v>2.0918181818181818</v>
      </c>
      <c r="E131" s="22">
        <v>2.1066666666666669</v>
      </c>
      <c r="F131" s="22">
        <v>2.4633333333333334</v>
      </c>
      <c r="G131" s="28">
        <v>2.0159604978354979</v>
      </c>
      <c r="H131" s="29">
        <v>1.25</v>
      </c>
    </row>
    <row r="132" spans="1:8" x14ac:dyDescent="0.6">
      <c r="A132" s="30">
        <v>43800</v>
      </c>
      <c r="B132" s="22">
        <v>2.2133333333333334</v>
      </c>
      <c r="C132" s="22">
        <v>1.81</v>
      </c>
      <c r="D132" s="22">
        <v>2.187272727272727</v>
      </c>
      <c r="E132" s="22">
        <v>2.2583333333333333</v>
      </c>
      <c r="F132" s="22">
        <v>2.4250000000000003</v>
      </c>
      <c r="G132" s="28">
        <v>2.1172348484848484</v>
      </c>
      <c r="H132" s="29">
        <v>1.25</v>
      </c>
    </row>
    <row r="133" spans="1:8" x14ac:dyDescent="0.6">
      <c r="A133" s="30">
        <v>43831</v>
      </c>
      <c r="B133" s="22">
        <v>2.1725000000000003</v>
      </c>
      <c r="C133" s="22">
        <v>1.7571428571428573</v>
      </c>
      <c r="D133" s="22">
        <v>2.0936363636363633</v>
      </c>
      <c r="E133" s="22">
        <v>2.0999999999999996</v>
      </c>
      <c r="F133" s="22">
        <v>2.347142857142857</v>
      </c>
      <c r="G133" s="28">
        <v>2.0308198051948052</v>
      </c>
      <c r="H133" s="29">
        <v>1.25</v>
      </c>
    </row>
    <row r="134" spans="1:8" x14ac:dyDescent="0.6">
      <c r="A134" s="30">
        <v>43862</v>
      </c>
      <c r="B134" s="22">
        <v>2.1466666666666665</v>
      </c>
      <c r="C134" s="22">
        <v>1.6914285714285711</v>
      </c>
      <c r="D134" s="22">
        <v>2.0509090909090903</v>
      </c>
      <c r="E134" s="22">
        <v>2.168333333333333</v>
      </c>
      <c r="F134" s="22">
        <v>2.2266666666666666</v>
      </c>
      <c r="G134" s="28">
        <v>2.0143344155844152</v>
      </c>
      <c r="H134" s="29">
        <v>1.25</v>
      </c>
    </row>
    <row r="135" spans="1:8" x14ac:dyDescent="0.6">
      <c r="A135" s="30">
        <v>43891</v>
      </c>
      <c r="B135" s="22">
        <v>2.0291666666666663</v>
      </c>
      <c r="C135" s="22">
        <v>1.4857142857142858</v>
      </c>
      <c r="D135" s="22">
        <v>2.0272727272727269</v>
      </c>
      <c r="E135" s="22">
        <v>2.1516666666666668</v>
      </c>
      <c r="F135" s="22">
        <v>2.1692307692307695</v>
      </c>
      <c r="G135" s="28">
        <v>1.9234550865800863</v>
      </c>
      <c r="H135" s="29">
        <v>0.75</v>
      </c>
    </row>
    <row r="136" spans="1:8" x14ac:dyDescent="0.6">
      <c r="A136" s="30">
        <v>43922</v>
      </c>
      <c r="B136" s="22">
        <v>1.7916666666666667</v>
      </c>
      <c r="C136" s="22">
        <v>1.3992307692307691</v>
      </c>
      <c r="D136" s="22">
        <v>1.8318181818181818</v>
      </c>
      <c r="E136" s="22">
        <v>1.9450000000000003</v>
      </c>
      <c r="F136" s="22">
        <v>2.1307692307692307</v>
      </c>
      <c r="G136" s="28">
        <v>1.7419289044289046</v>
      </c>
      <c r="H136" s="29">
        <v>0.75</v>
      </c>
    </row>
    <row r="137" spans="1:8" x14ac:dyDescent="0.6">
      <c r="A137" s="30">
        <v>43952</v>
      </c>
      <c r="B137" s="22">
        <v>1.7566666666666668</v>
      </c>
      <c r="C137" s="22">
        <v>1.2042857142857144</v>
      </c>
      <c r="D137" s="22">
        <v>1.7772727272727273</v>
      </c>
      <c r="E137" s="22">
        <v>1.9166666666666667</v>
      </c>
      <c r="F137" s="22">
        <v>2.2071428571428573</v>
      </c>
      <c r="G137" s="28">
        <v>1.6637229437229439</v>
      </c>
      <c r="H137" s="29">
        <v>0.75</v>
      </c>
    </row>
    <row r="138" spans="1:8" x14ac:dyDescent="0.6">
      <c r="A138" s="30">
        <v>43983</v>
      </c>
      <c r="B138" s="22">
        <v>1.8558333333333332</v>
      </c>
      <c r="C138" s="22">
        <v>1.1185714285714288</v>
      </c>
      <c r="D138" s="22">
        <v>1.8354545454545457</v>
      </c>
      <c r="E138" s="22">
        <v>1.9616666666666667</v>
      </c>
      <c r="F138" s="22">
        <v>2.2000000000000002</v>
      </c>
      <c r="G138" s="28">
        <v>1.6928814935064938</v>
      </c>
      <c r="H138" s="29">
        <v>0.5</v>
      </c>
    </row>
    <row r="139" spans="1:8" x14ac:dyDescent="0.6">
      <c r="A139" s="30">
        <v>44013</v>
      </c>
      <c r="B139" s="22">
        <v>1.8616666666666666</v>
      </c>
      <c r="C139" s="22">
        <v>1.119285714285714</v>
      </c>
      <c r="D139" s="22">
        <v>1.7579999999999998</v>
      </c>
      <c r="E139" s="22">
        <v>1.7739999999999998</v>
      </c>
      <c r="F139" s="22">
        <v>2.0363636363636362</v>
      </c>
      <c r="G139" s="28">
        <v>1.628238095238095</v>
      </c>
      <c r="H139" s="29">
        <v>0.5</v>
      </c>
    </row>
    <row r="140" spans="1:8" x14ac:dyDescent="0.6">
      <c r="A140" s="30">
        <v>44044</v>
      </c>
      <c r="B140" s="22">
        <v>1.8350000000000002</v>
      </c>
      <c r="C140" s="22">
        <v>1.0271428571428574</v>
      </c>
      <c r="D140" s="22">
        <v>1.7280000000000002</v>
      </c>
      <c r="E140" s="22">
        <v>1.7740000000000002</v>
      </c>
      <c r="F140" s="22">
        <v>1.8636363636363635</v>
      </c>
      <c r="G140" s="28">
        <v>1.5910357142857146</v>
      </c>
      <c r="H140" s="29">
        <v>0.5</v>
      </c>
    </row>
    <row r="141" spans="1:8" x14ac:dyDescent="0.6">
      <c r="A141" s="30">
        <v>44075</v>
      </c>
      <c r="B141" s="22">
        <v>1.7809999999999999</v>
      </c>
      <c r="C141" s="22">
        <v>0.96714285714285708</v>
      </c>
      <c r="D141" s="22">
        <v>1.7009090909090909</v>
      </c>
      <c r="E141" s="22">
        <v>1.7350000000000001</v>
      </c>
      <c r="F141" s="22">
        <v>1.8678571428571424</v>
      </c>
      <c r="G141" s="28">
        <v>1.5460129870129871</v>
      </c>
      <c r="H141" s="29">
        <v>0.5</v>
      </c>
    </row>
    <row r="142" spans="1:8" x14ac:dyDescent="0.6">
      <c r="A142" s="30">
        <v>44105</v>
      </c>
      <c r="B142" s="22">
        <v>1.7509999999999999</v>
      </c>
      <c r="C142" s="22">
        <v>1.0171428571428571</v>
      </c>
      <c r="D142" s="22">
        <v>1.6863636363636365</v>
      </c>
      <c r="E142" s="22">
        <v>1.7483333333333333</v>
      </c>
      <c r="F142" s="22">
        <v>2.0550000000000002</v>
      </c>
      <c r="G142" s="28">
        <v>1.5507099567099567</v>
      </c>
      <c r="H142" s="29">
        <v>0.5</v>
      </c>
    </row>
    <row r="143" spans="1:8" x14ac:dyDescent="0.6">
      <c r="A143" s="30">
        <v>44136</v>
      </c>
      <c r="B143" s="22">
        <v>1.7509999999999999</v>
      </c>
      <c r="C143" s="22">
        <v>0.98785714285714277</v>
      </c>
      <c r="D143" s="22">
        <v>1.7254545454545451</v>
      </c>
      <c r="E143" s="22">
        <v>1.7850000000000001</v>
      </c>
      <c r="F143" s="22">
        <v>2.1142857142857148</v>
      </c>
      <c r="G143" s="28">
        <v>1.5623279220779218</v>
      </c>
      <c r="H143" s="29">
        <v>0.5</v>
      </c>
    </row>
    <row r="144" spans="1:8" x14ac:dyDescent="0.6">
      <c r="A144" s="30">
        <v>44166</v>
      </c>
      <c r="B144" s="22">
        <v>1.85</v>
      </c>
      <c r="C144" s="22">
        <v>1.0092857142857146</v>
      </c>
      <c r="D144" s="22">
        <v>1.7727272727272725</v>
      </c>
      <c r="E144" s="22">
        <v>1.8466666666666667</v>
      </c>
      <c r="F144" s="22">
        <v>2.21</v>
      </c>
      <c r="G144" s="28">
        <v>1.6196699134199135</v>
      </c>
      <c r="H144" s="29">
        <v>0.5</v>
      </c>
    </row>
    <row r="145" spans="1:8" x14ac:dyDescent="0.6">
      <c r="A145" s="30">
        <v>44197</v>
      </c>
      <c r="B145" s="22">
        <v>1.8839999999999997</v>
      </c>
      <c r="C145" s="22">
        <v>1.0028571428571429</v>
      </c>
      <c r="D145" s="22">
        <v>1.6772727272727272</v>
      </c>
      <c r="E145" s="22">
        <v>1.7450000000000001</v>
      </c>
      <c r="F145" s="22">
        <v>2.0913333333333335</v>
      </c>
      <c r="G145" s="28">
        <v>1.5772824675324675</v>
      </c>
      <c r="H145" s="29">
        <v>0.5</v>
      </c>
    </row>
    <row r="146" spans="1:8" x14ac:dyDescent="0.6">
      <c r="A146" s="30">
        <v>44228</v>
      </c>
      <c r="B146" s="22">
        <v>1.8530000000000002</v>
      </c>
      <c r="C146" s="22">
        <v>0.97357142857142842</v>
      </c>
      <c r="D146" s="22">
        <v>1.6590909090909092</v>
      </c>
      <c r="E146" s="22">
        <v>1.7366666666666666</v>
      </c>
      <c r="F146" s="22">
        <v>2.0246666666666671</v>
      </c>
      <c r="G146" s="28">
        <v>1.555582251082251</v>
      </c>
      <c r="H146" s="29">
        <v>0.5</v>
      </c>
    </row>
    <row r="147" spans="1:8" x14ac:dyDescent="0.6">
      <c r="A147" s="30">
        <v>44256</v>
      </c>
      <c r="B147" s="22">
        <v>1.9200000000000004</v>
      </c>
      <c r="C147" s="22">
        <v>0.94928571428571407</v>
      </c>
      <c r="D147" s="22">
        <v>1.6627272727272726</v>
      </c>
      <c r="E147" s="22">
        <v>1.7483333333333333</v>
      </c>
      <c r="F147" s="22">
        <v>1.9013333333333331</v>
      </c>
      <c r="G147" s="28">
        <v>1.57008658008658</v>
      </c>
      <c r="H147" s="29">
        <v>0.5</v>
      </c>
    </row>
    <row r="148" spans="1:8" x14ac:dyDescent="0.6">
      <c r="A148" s="30">
        <v>44287</v>
      </c>
      <c r="B148" s="22">
        <v>1.8539999999999999</v>
      </c>
      <c r="C148" s="22">
        <v>0.96769230769230774</v>
      </c>
      <c r="D148" s="22">
        <v>1.663636363636364</v>
      </c>
      <c r="E148" s="22">
        <v>1.7450000000000001</v>
      </c>
      <c r="F148" s="22">
        <v>1.793333333333333</v>
      </c>
      <c r="G148" s="28">
        <v>1.557582167832168</v>
      </c>
      <c r="H148" s="29">
        <v>0.5</v>
      </c>
    </row>
    <row r="149" spans="1:8" x14ac:dyDescent="0.6">
      <c r="A149" s="30">
        <v>44317</v>
      </c>
      <c r="B149" s="22">
        <v>1.8000000000000003</v>
      </c>
      <c r="C149" s="22">
        <v>0.92428571428571438</v>
      </c>
      <c r="D149" s="22">
        <v>1.6654545454545457</v>
      </c>
      <c r="E149" s="22">
        <v>1.7483333333333333</v>
      </c>
      <c r="F149" s="22">
        <v>1.7570588235294118</v>
      </c>
      <c r="G149" s="28">
        <v>1.5345183982683983</v>
      </c>
      <c r="H149" s="29">
        <v>0.5</v>
      </c>
    </row>
    <row r="150" spans="1:8" x14ac:dyDescent="0.6">
      <c r="A150" s="30">
        <v>44348</v>
      </c>
      <c r="B150" s="22">
        <v>1.9399999999999995</v>
      </c>
      <c r="C150" s="22">
        <v>0.9007142857142858</v>
      </c>
      <c r="D150" s="22">
        <v>1.7199999999999998</v>
      </c>
      <c r="E150" s="22">
        <v>1.8166666666666671</v>
      </c>
      <c r="F150" s="22">
        <v>1.841764705882353</v>
      </c>
      <c r="G150" s="28">
        <v>1.5943452380952381</v>
      </c>
      <c r="H150" s="29">
        <v>0.5</v>
      </c>
    </row>
    <row r="151" spans="1:8" x14ac:dyDescent="0.6">
      <c r="A151" s="30">
        <v>44378</v>
      </c>
      <c r="B151" s="22">
        <v>1.86</v>
      </c>
      <c r="C151" s="22">
        <v>1.1007142857142858</v>
      </c>
      <c r="D151" s="22">
        <v>1.7027272727272729</v>
      </c>
      <c r="E151" s="22">
        <v>1.8083333333333336</v>
      </c>
      <c r="F151" s="22">
        <v>2.0341176470588231</v>
      </c>
      <c r="G151" s="28">
        <v>1.617943722943723</v>
      </c>
      <c r="H151" s="29">
        <v>0.5</v>
      </c>
    </row>
    <row r="152" spans="1:8" x14ac:dyDescent="0.6">
      <c r="A152" s="30">
        <v>44409</v>
      </c>
      <c r="B152" s="22">
        <v>1.86</v>
      </c>
      <c r="C152" s="22">
        <v>1.2028571428571431</v>
      </c>
      <c r="D152" s="22">
        <v>1.7136363636363638</v>
      </c>
      <c r="E152" s="22">
        <v>1.6966666666666665</v>
      </c>
      <c r="F152" s="22">
        <v>2.2288235294117649</v>
      </c>
      <c r="G152" s="28">
        <v>1.6182900432900433</v>
      </c>
      <c r="H152" s="29">
        <v>0.5</v>
      </c>
    </row>
    <row r="153" spans="1:8" x14ac:dyDescent="0.6">
      <c r="A153" s="30">
        <v>44440</v>
      </c>
      <c r="B153" s="22">
        <v>1.85</v>
      </c>
      <c r="C153" s="22">
        <v>1.2742857142857142</v>
      </c>
      <c r="D153" s="22">
        <v>1.7363636363636366</v>
      </c>
      <c r="E153" s="22">
        <v>1.7050000000000001</v>
      </c>
      <c r="F153" s="22">
        <v>2.2843749999999998</v>
      </c>
      <c r="G153" s="28">
        <v>1.6414123376623377</v>
      </c>
      <c r="H153" s="29">
        <v>0.75</v>
      </c>
    </row>
    <row r="154" spans="1:8" x14ac:dyDescent="0.6">
      <c r="A154" s="30">
        <v>44470</v>
      </c>
      <c r="B154" s="22">
        <v>1.85</v>
      </c>
      <c r="C154" s="22">
        <v>1.3621428571428571</v>
      </c>
      <c r="D154" s="22">
        <v>1.7727272727272727</v>
      </c>
      <c r="E154" s="22">
        <v>1.7149999999999999</v>
      </c>
      <c r="F154" s="22">
        <v>2.3674999999999997</v>
      </c>
      <c r="G154" s="28">
        <v>1.6749675324675324</v>
      </c>
      <c r="H154" s="29">
        <v>0.75</v>
      </c>
    </row>
    <row r="155" spans="1:8" x14ac:dyDescent="0.6">
      <c r="A155" s="30">
        <v>44501</v>
      </c>
      <c r="B155" s="22">
        <v>2.0019999999999998</v>
      </c>
      <c r="C155" s="22">
        <v>1.4785714285714289</v>
      </c>
      <c r="D155" s="22">
        <v>1.8390909090909096</v>
      </c>
      <c r="E155" s="22">
        <v>1.7933333333333332</v>
      </c>
      <c r="F155" s="22">
        <v>2.3574999999999995</v>
      </c>
      <c r="G155" s="28">
        <v>1.7782489177489178</v>
      </c>
      <c r="H155" s="29">
        <v>0.75</v>
      </c>
    </row>
    <row r="156" spans="1:8" x14ac:dyDescent="0.6">
      <c r="A156" s="30">
        <v>44531</v>
      </c>
      <c r="B156" s="22">
        <v>2.11</v>
      </c>
      <c r="C156" s="22">
        <v>1.666923076923077</v>
      </c>
      <c r="D156" s="22">
        <v>2.0536363636363637</v>
      </c>
      <c r="E156" s="22">
        <v>2.0933333333333333</v>
      </c>
      <c r="F156" s="22">
        <v>2.5550000000000002</v>
      </c>
      <c r="G156" s="28">
        <v>1.9809731934731936</v>
      </c>
      <c r="H156" s="29">
        <v>1</v>
      </c>
    </row>
    <row r="157" spans="1:8" x14ac:dyDescent="0.6">
      <c r="A157" s="30">
        <v>44562</v>
      </c>
      <c r="B157" s="22">
        <v>2.1509999999999998</v>
      </c>
      <c r="C157" s="22">
        <v>1.6514285714285717</v>
      </c>
      <c r="D157" s="22">
        <v>1.8954545454545453</v>
      </c>
      <c r="E157" s="22">
        <v>2.0183333333333331</v>
      </c>
      <c r="F157" s="22">
        <v>2.5350000000000001</v>
      </c>
      <c r="G157" s="28">
        <v>1.9290541125541125</v>
      </c>
      <c r="H157" s="29">
        <v>1.25</v>
      </c>
    </row>
    <row r="158" spans="1:8" x14ac:dyDescent="0.6">
      <c r="A158" s="30">
        <v>44593</v>
      </c>
      <c r="B158" s="22">
        <v>2.1509999999999998</v>
      </c>
      <c r="C158" s="22">
        <v>1.7907142857142855</v>
      </c>
      <c r="D158" s="22">
        <v>1.9481818181818182</v>
      </c>
      <c r="E158" s="22">
        <v>2.0266666666666668</v>
      </c>
      <c r="F158" s="22">
        <v>2.5516666666666676</v>
      </c>
      <c r="G158" s="28">
        <v>1.9791406926406925</v>
      </c>
      <c r="H158" s="29">
        <v>1.25</v>
      </c>
    </row>
    <row r="159" spans="1:8" x14ac:dyDescent="0.6">
      <c r="A159" s="30">
        <v>44621</v>
      </c>
      <c r="B159" s="22">
        <v>2.2049999999999996</v>
      </c>
      <c r="C159" s="22">
        <v>1.8900000000000001</v>
      </c>
      <c r="D159" s="22">
        <v>2.0500000000000003</v>
      </c>
      <c r="E159" s="22">
        <v>2.1333333333333333</v>
      </c>
      <c r="F159" s="22">
        <v>2.5700000000000007</v>
      </c>
      <c r="G159" s="28">
        <v>2.0695833333333331</v>
      </c>
      <c r="H159" s="29">
        <v>1.25</v>
      </c>
    </row>
    <row r="160" spans="1:8" x14ac:dyDescent="0.6">
      <c r="A160" s="30">
        <v>44652</v>
      </c>
      <c r="B160" s="22">
        <v>2.3000000000000003</v>
      </c>
      <c r="C160" s="22">
        <v>1.9157142857142857</v>
      </c>
      <c r="D160" s="22">
        <v>2.0981818181818181</v>
      </c>
      <c r="E160" s="22">
        <v>2.1633333333333336</v>
      </c>
      <c r="F160" s="22">
        <v>2.6350000000000007</v>
      </c>
      <c r="G160" s="28">
        <v>2.1193073593073595</v>
      </c>
      <c r="H160" s="29">
        <v>1.5</v>
      </c>
    </row>
    <row r="161" spans="1:8" x14ac:dyDescent="0.6">
      <c r="A161" s="30">
        <v>44682</v>
      </c>
      <c r="B161" s="22">
        <v>2.5049999999999999</v>
      </c>
      <c r="C161" s="22">
        <v>2.15</v>
      </c>
      <c r="D161" s="22">
        <v>2.3618181818181823</v>
      </c>
      <c r="E161" s="22">
        <v>2.418333333333333</v>
      </c>
      <c r="F161" s="22">
        <v>2.6739999999999999</v>
      </c>
      <c r="G161" s="28">
        <v>2.3587878787878784</v>
      </c>
      <c r="H161" s="29">
        <v>1.75</v>
      </c>
    </row>
    <row r="162" spans="1:8" x14ac:dyDescent="0.6">
      <c r="A162" s="30">
        <v>44713</v>
      </c>
      <c r="B162" s="22">
        <v>2.8999999999999995</v>
      </c>
      <c r="C162" s="22">
        <v>2.3192857142857144</v>
      </c>
      <c r="D162" s="22">
        <v>2.709090909090909</v>
      </c>
      <c r="E162" s="22">
        <v>2.7366666666666664</v>
      </c>
      <c r="F162" s="22">
        <v>3.1300000000000003</v>
      </c>
      <c r="G162" s="28">
        <v>2.6662608225108224</v>
      </c>
      <c r="H162" s="29">
        <v>1.75</v>
      </c>
    </row>
    <row r="163" spans="1:8" x14ac:dyDescent="0.6">
      <c r="A163" s="30">
        <v>44743</v>
      </c>
      <c r="B163" s="22">
        <v>3.35</v>
      </c>
      <c r="C163" s="22">
        <v>2.8215384615384616</v>
      </c>
      <c r="D163" s="22">
        <v>2.9709090909090907</v>
      </c>
      <c r="E163" s="22">
        <v>3.0283333333333338</v>
      </c>
      <c r="F163" s="22">
        <v>3.5</v>
      </c>
      <c r="G163" s="28">
        <v>3.0426952214452219</v>
      </c>
      <c r="H163" s="29">
        <v>2.25</v>
      </c>
    </row>
    <row r="164" spans="1:8" x14ac:dyDescent="0.6">
      <c r="A164" s="30">
        <v>44774</v>
      </c>
      <c r="B164" s="22">
        <v>3.6519999999999997</v>
      </c>
      <c r="C164" s="22">
        <v>3.2592857142857139</v>
      </c>
      <c r="D164" s="22">
        <v>3.1518181818181819</v>
      </c>
      <c r="E164" s="22">
        <v>3.3833333333333333</v>
      </c>
      <c r="F164" s="22">
        <v>3.6</v>
      </c>
      <c r="G164" s="28">
        <v>3.361609307359307</v>
      </c>
      <c r="H164" s="29">
        <v>2.5</v>
      </c>
    </row>
    <row r="165" spans="1:8" x14ac:dyDescent="0.6">
      <c r="A165" s="30">
        <v>44805</v>
      </c>
      <c r="B165" s="22">
        <v>3.7020000000000004</v>
      </c>
      <c r="C165" s="22">
        <v>3.3892307692307688</v>
      </c>
      <c r="D165" s="22">
        <v>3.3945454545454541</v>
      </c>
      <c r="E165" s="22">
        <v>3.4350000000000001</v>
      </c>
      <c r="F165" s="22">
        <v>3.83</v>
      </c>
      <c r="G165" s="28">
        <v>3.4801940559440561</v>
      </c>
      <c r="H165" s="29">
        <v>2.5</v>
      </c>
    </row>
    <row r="166" spans="1:8" x14ac:dyDescent="0.6">
      <c r="A166" s="30">
        <v>44835</v>
      </c>
      <c r="B166" s="22">
        <v>4.4409090909090914</v>
      </c>
      <c r="C166" s="22">
        <v>4.0969230769230771</v>
      </c>
      <c r="D166" s="22">
        <v>3.8627272727272728</v>
      </c>
      <c r="E166" s="22">
        <v>3.6733333333333333</v>
      </c>
      <c r="F166" s="22">
        <v>3.83</v>
      </c>
      <c r="G166" s="28">
        <v>4.0184731934731932</v>
      </c>
      <c r="H166" s="29">
        <v>3</v>
      </c>
    </row>
    <row r="167" spans="1:8" x14ac:dyDescent="0.6">
      <c r="A167" s="30">
        <v>44866</v>
      </c>
      <c r="B167" s="22">
        <v>5.4218181818181819</v>
      </c>
      <c r="C167" s="22">
        <v>4.7207142857142861</v>
      </c>
      <c r="D167" s="22">
        <v>4.7218181818181826</v>
      </c>
      <c r="E167" s="22">
        <v>4.5166666666666666</v>
      </c>
      <c r="F167" s="22">
        <v>3.83</v>
      </c>
      <c r="G167" s="28">
        <v>4.8452543290043293</v>
      </c>
      <c r="H167" s="29">
        <v>3.25</v>
      </c>
    </row>
    <row r="168" spans="1:8" x14ac:dyDescent="0.6">
      <c r="A168" s="30">
        <v>44896</v>
      </c>
      <c r="B168" s="22">
        <v>6.2045454545454541</v>
      </c>
      <c r="C168" s="22">
        <v>5.0179999999999998</v>
      </c>
      <c r="D168" s="22">
        <v>5.4590909090909099</v>
      </c>
      <c r="E168" s="22">
        <v>5.1783333333333328</v>
      </c>
      <c r="F168" s="22">
        <v>6.0609523809523811</v>
      </c>
      <c r="G168" s="28">
        <v>5.4649924242424248</v>
      </c>
      <c r="H168" s="29">
        <v>3.25</v>
      </c>
    </row>
    <row r="169" spans="1:8" x14ac:dyDescent="0.6">
      <c r="A169" s="30">
        <v>44927</v>
      </c>
      <c r="B169" s="22">
        <v>4.7181818181818187</v>
      </c>
      <c r="C169" s="22">
        <v>4.4042857142857148</v>
      </c>
      <c r="D169" s="22">
        <v>4.3049999999999997</v>
      </c>
      <c r="E169" s="22">
        <v>4.3040000000000003</v>
      </c>
      <c r="F169" s="22">
        <v>5.3999999999999995</v>
      </c>
      <c r="G169" s="28">
        <v>4.4328668831168834</v>
      </c>
      <c r="H169" s="29">
        <v>3.5</v>
      </c>
    </row>
    <row r="170" spans="1:8" x14ac:dyDescent="0.6">
      <c r="A170" s="30">
        <v>44958</v>
      </c>
      <c r="B170" s="22">
        <v>4.1409090909090915</v>
      </c>
      <c r="C170" s="22">
        <v>3.5408333333333335</v>
      </c>
      <c r="D170" s="22">
        <v>3.9125000000000001</v>
      </c>
      <c r="E170" s="22">
        <v>3.8679999999999999</v>
      </c>
      <c r="F170" s="22">
        <v>4.3450000000000006</v>
      </c>
      <c r="G170" s="28">
        <v>3.8655606060606065</v>
      </c>
      <c r="H170" s="29">
        <v>3.5</v>
      </c>
    </row>
    <row r="171" spans="1:8" x14ac:dyDescent="0.6">
      <c r="A171" s="30">
        <v>44986</v>
      </c>
      <c r="B171" s="22">
        <v>4.0090909090909088</v>
      </c>
      <c r="C171" s="22">
        <v>3.4806666666666661</v>
      </c>
      <c r="D171" s="22">
        <v>3.96875</v>
      </c>
      <c r="E171" s="22">
        <v>3.6749999999999994</v>
      </c>
      <c r="F171" s="22">
        <v>3.6499999999999995</v>
      </c>
      <c r="G171" s="28">
        <v>3.7833768939393937</v>
      </c>
      <c r="H171" s="29">
        <v>3.5</v>
      </c>
    </row>
    <row r="172" spans="1:8" x14ac:dyDescent="0.6">
      <c r="A172" s="30">
        <v>45017</v>
      </c>
      <c r="B172" s="22">
        <v>3.836363636363636</v>
      </c>
      <c r="C172" s="22">
        <v>3.3093333333333339</v>
      </c>
      <c r="D172" s="22">
        <v>3.4281818181818191</v>
      </c>
      <c r="E172" s="22">
        <v>3.5066666666666664</v>
      </c>
      <c r="F172" s="22">
        <v>3.7690476190476185</v>
      </c>
      <c r="G172" s="28">
        <v>3.5201363636363636</v>
      </c>
      <c r="H172" s="29">
        <v>3.5</v>
      </c>
    </row>
    <row r="173" spans="1:8" x14ac:dyDescent="0.6">
      <c r="A173" s="30">
        <v>45047</v>
      </c>
      <c r="B173" s="22">
        <v>3.6500000000000004</v>
      </c>
      <c r="C173" s="22">
        <v>3.1773333333333338</v>
      </c>
      <c r="D173" s="22">
        <v>3.3745454545454545</v>
      </c>
      <c r="E173" s="22">
        <v>3.4066666666666663</v>
      </c>
      <c r="F173" s="22">
        <v>3.9809523809523815</v>
      </c>
      <c r="G173" s="28">
        <v>3.4021363636363637</v>
      </c>
      <c r="H173" s="29">
        <v>3.5</v>
      </c>
    </row>
    <row r="174" spans="1:8" x14ac:dyDescent="0.6">
      <c r="A174" s="30">
        <v>45078</v>
      </c>
      <c r="B174" s="22">
        <v>3.9918181818181817</v>
      </c>
      <c r="C174" s="22">
        <v>3.3946666666666663</v>
      </c>
      <c r="D174" s="22">
        <v>3.4963636363636357</v>
      </c>
      <c r="E174" s="22">
        <v>3.4983333333333331</v>
      </c>
      <c r="F174" s="22">
        <v>4.1809523809523812</v>
      </c>
      <c r="G174" s="28">
        <v>3.5952954545454543</v>
      </c>
      <c r="H174" s="29">
        <v>3.5</v>
      </c>
    </row>
    <row r="175" spans="1:8" x14ac:dyDescent="0.6">
      <c r="A175" s="30">
        <v>45108</v>
      </c>
      <c r="B175" s="22">
        <v>3.9909090909090907</v>
      </c>
      <c r="C175" s="22">
        <v>3.4833333333333334</v>
      </c>
      <c r="D175" s="22">
        <v>3.6100000000000003</v>
      </c>
      <c r="E175" s="22">
        <v>3.5716666666666668</v>
      </c>
      <c r="F175" s="22">
        <v>4.1857142857142851</v>
      </c>
      <c r="G175" s="28">
        <v>3.6639772727272732</v>
      </c>
      <c r="H175" s="29">
        <v>3.5</v>
      </c>
    </row>
    <row r="176" spans="1:8" x14ac:dyDescent="0.6">
      <c r="A176" s="30">
        <v>45139</v>
      </c>
      <c r="B176" s="22">
        <v>3.9545454545454537</v>
      </c>
      <c r="C176" s="22">
        <v>3.476</v>
      </c>
      <c r="D176" s="22">
        <v>3.6139999999999999</v>
      </c>
      <c r="E176" s="22">
        <v>3.5549999999999997</v>
      </c>
      <c r="F176" s="22">
        <v>4.3528571428571432</v>
      </c>
      <c r="G176" s="28">
        <v>3.6498863636363632</v>
      </c>
      <c r="H176" s="29">
        <v>3.5</v>
      </c>
    </row>
    <row r="177" spans="1:8" x14ac:dyDescent="0.6">
      <c r="A177" s="30">
        <v>45170</v>
      </c>
      <c r="B177" s="22">
        <v>4.0272727272727273</v>
      </c>
      <c r="C177" s="22">
        <v>3.5206666666666666</v>
      </c>
      <c r="D177" s="22">
        <v>3.7469999999999999</v>
      </c>
      <c r="E177" s="22">
        <v>3.58</v>
      </c>
      <c r="F177" s="22">
        <v>4.3509523809523802</v>
      </c>
      <c r="G177" s="28">
        <v>3.7187348484848486</v>
      </c>
      <c r="H177" s="29">
        <v>3.5</v>
      </c>
    </row>
    <row r="178" spans="1:8" x14ac:dyDescent="0.6">
      <c r="A178" s="30">
        <v>45200</v>
      </c>
      <c r="B178" s="22">
        <v>4.2018181818181821</v>
      </c>
      <c r="C178" s="22">
        <v>3.7053333333333334</v>
      </c>
      <c r="D178" s="22">
        <v>3.8990909090909089</v>
      </c>
      <c r="E178" s="22">
        <v>3.9183333333333334</v>
      </c>
      <c r="F178" s="22">
        <v>4.5319047619047623</v>
      </c>
      <c r="G178" s="28">
        <v>3.9311439393939391</v>
      </c>
      <c r="H178" s="29">
        <v>3.5</v>
      </c>
    </row>
    <row r="179" spans="1:8" x14ac:dyDescent="0.6">
      <c r="A179" s="30">
        <v>45231</v>
      </c>
      <c r="B179" s="22">
        <v>4.8927999999999994</v>
      </c>
      <c r="C179" s="22">
        <v>3.3625000000000003</v>
      </c>
      <c r="D179" s="22">
        <v>4.0919999999999996</v>
      </c>
      <c r="E179" s="22">
        <v>4.0322222222222219</v>
      </c>
      <c r="F179" s="22">
        <v>4.3790909090909089</v>
      </c>
      <c r="G179" s="28">
        <v>4.0948805555555552</v>
      </c>
      <c r="H179" s="29">
        <v>3.5</v>
      </c>
    </row>
    <row r="180" spans="1:8" x14ac:dyDescent="0.6">
      <c r="A180" s="30">
        <v>45261</v>
      </c>
      <c r="B180" s="22">
        <v>4.409523809523809</v>
      </c>
      <c r="C180" s="22">
        <v>3.9058823529411768</v>
      </c>
      <c r="D180" s="22">
        <v>4.0209090909090905</v>
      </c>
      <c r="E180" s="22">
        <v>4.0647058823529418</v>
      </c>
      <c r="F180" s="22">
        <v>4.1028571428571423</v>
      </c>
      <c r="G180" s="28">
        <v>4.1002552839317543</v>
      </c>
      <c r="H180" s="29">
        <v>3.5</v>
      </c>
    </row>
    <row r="181" spans="1:8" x14ac:dyDescent="0.6">
      <c r="A181" s="30">
        <v>45292</v>
      </c>
      <c r="B181" s="22">
        <v>3.8705555555555557</v>
      </c>
      <c r="C181" s="22">
        <v>3.6558823529411772</v>
      </c>
      <c r="D181" s="22">
        <v>3.5840000000000005</v>
      </c>
      <c r="E181" s="22">
        <v>3.6466666666666665</v>
      </c>
      <c r="F181" s="22">
        <v>3.9838095238095241</v>
      </c>
      <c r="G181" s="28">
        <v>3.6892761437908503</v>
      </c>
      <c r="H181" s="29">
        <v>3.5</v>
      </c>
    </row>
    <row r="182" spans="1:8" x14ac:dyDescent="0.6">
      <c r="A182" s="30">
        <v>45323</v>
      </c>
      <c r="B182" s="22">
        <v>3.8495238095238089</v>
      </c>
      <c r="C182" s="22">
        <v>3.4676470588235295</v>
      </c>
      <c r="D182" s="22">
        <v>3.4850000000000003</v>
      </c>
      <c r="E182" s="22">
        <v>3.48</v>
      </c>
      <c r="F182" s="22">
        <v>3.8481818181818186</v>
      </c>
      <c r="G182" s="28">
        <v>3.5705427170868349</v>
      </c>
      <c r="H182" s="29">
        <v>3.5</v>
      </c>
    </row>
    <row r="183" spans="1:8" x14ac:dyDescent="0.6">
      <c r="A183" s="30">
        <v>45352</v>
      </c>
      <c r="B183" s="22">
        <v>3.8914285714285719</v>
      </c>
      <c r="C183" s="22">
        <v>3.4970588235294109</v>
      </c>
      <c r="D183" s="22">
        <v>3.4909090909090907</v>
      </c>
      <c r="E183" s="22">
        <v>3.5387499999999998</v>
      </c>
      <c r="F183" s="22">
        <v>3.7766666666666668</v>
      </c>
      <c r="G183" s="28">
        <v>3.6045366214667682</v>
      </c>
      <c r="H183" s="29">
        <v>3.5</v>
      </c>
    </row>
    <row r="184" spans="1:8" x14ac:dyDescent="0.6">
      <c r="A184" s="30">
        <v>45383</v>
      </c>
      <c r="B184" s="22">
        <v>3.8128571428571427</v>
      </c>
      <c r="C184" s="22">
        <v>3.4152941176470586</v>
      </c>
      <c r="D184" s="22">
        <v>3.4210000000000003</v>
      </c>
      <c r="E184" s="22">
        <v>3.4757142857142855</v>
      </c>
      <c r="F184" s="22">
        <v>3.8145454545454545</v>
      </c>
      <c r="G184" s="28">
        <v>3.5312163865546218</v>
      </c>
      <c r="H184" s="29">
        <v>3.5</v>
      </c>
    </row>
    <row r="185" spans="1:8" x14ac:dyDescent="0.6">
      <c r="A185" s="30">
        <v>45413</v>
      </c>
      <c r="B185" s="22">
        <v>3.8466666666666662</v>
      </c>
      <c r="C185" s="22">
        <v>3.415294117647059</v>
      </c>
      <c r="D185" s="22">
        <v>3.4327272727272731</v>
      </c>
      <c r="E185" s="22">
        <v>3.4928571428571429</v>
      </c>
      <c r="F185" s="22">
        <v>3.7831818181818178</v>
      </c>
      <c r="G185" s="28">
        <v>3.5468862999745356</v>
      </c>
      <c r="H185" s="29">
        <v>3.5</v>
      </c>
    </row>
    <row r="186" spans="1:8" x14ac:dyDescent="0.6">
      <c r="A186" s="30">
        <v>45444</v>
      </c>
      <c r="B186" s="22">
        <v>3.8947619047619044</v>
      </c>
      <c r="C186" s="22">
        <v>3.4199999999999995</v>
      </c>
      <c r="D186" s="22">
        <v>3.5263636363636364</v>
      </c>
      <c r="E186" s="22">
        <v>3.5285714285714285</v>
      </c>
      <c r="F186" s="22">
        <v>3.772727272727272</v>
      </c>
      <c r="G186" s="28">
        <v>3.5924242424242419</v>
      </c>
      <c r="H186" s="29">
        <v>3.5</v>
      </c>
    </row>
    <row r="187" spans="1:8" x14ac:dyDescent="0.6">
      <c r="A187" s="30">
        <v>45474</v>
      </c>
      <c r="B187" s="22">
        <v>3.7386363636363638</v>
      </c>
      <c r="C187" s="22">
        <v>3.33</v>
      </c>
      <c r="D187" s="22">
        <v>3.3709090909090915</v>
      </c>
      <c r="E187" s="22">
        <v>3.4114285714285719</v>
      </c>
      <c r="F187" s="22">
        <v>3.7772727272727264</v>
      </c>
      <c r="G187" s="28">
        <v>3.4627435064935064</v>
      </c>
      <c r="H187" s="29">
        <v>3.5</v>
      </c>
    </row>
    <row r="188" spans="1:8" x14ac:dyDescent="0.6">
      <c r="A188" s="30">
        <v>45505</v>
      </c>
      <c r="B188" s="22">
        <v>3.584090909090909</v>
      </c>
      <c r="C188" s="22">
        <v>3.2017647058823528</v>
      </c>
      <c r="D188" s="22">
        <v>3.2345454545454548</v>
      </c>
      <c r="E188" s="22">
        <v>3.2614285714285711</v>
      </c>
      <c r="F188" s="22">
        <v>3.8004545454545449</v>
      </c>
      <c r="G188" s="28">
        <v>3.3204574102368216</v>
      </c>
      <c r="H188" s="29">
        <v>3.5</v>
      </c>
    </row>
    <row r="189" spans="1:8" x14ac:dyDescent="0.6">
      <c r="A189" s="30">
        <v>45536</v>
      </c>
      <c r="B189" s="22">
        <v>3.5404545454545446</v>
      </c>
      <c r="C189" s="22">
        <v>3.1929411764705877</v>
      </c>
      <c r="D189" s="22">
        <v>3.1536363636363642</v>
      </c>
      <c r="E189" s="22">
        <v>3.2042857142857142</v>
      </c>
      <c r="F189" s="22">
        <v>3.8138095238095238</v>
      </c>
      <c r="G189" s="28">
        <v>3.2728294499618027</v>
      </c>
      <c r="H189" s="29">
        <v>3.5</v>
      </c>
    </row>
    <row r="190" spans="1:8" x14ac:dyDescent="0.6">
      <c r="A190" s="30">
        <v>45566</v>
      </c>
      <c r="B190" s="22">
        <v>3.4886363636363642</v>
      </c>
      <c r="C190" s="22">
        <v>3.164705882352941</v>
      </c>
      <c r="D190" s="22">
        <v>3.1072727272727274</v>
      </c>
      <c r="E190" s="22">
        <v>3.13</v>
      </c>
      <c r="F190" s="22">
        <v>3.8623809523809522</v>
      </c>
      <c r="G190" s="28">
        <v>3.222653743315508</v>
      </c>
      <c r="H190" s="29">
        <v>3.25</v>
      </c>
    </row>
    <row r="191" spans="1:8" x14ac:dyDescent="0.6">
      <c r="A191" s="30">
        <v>45597</v>
      </c>
      <c r="B191" s="22">
        <v>3.5127272727272727</v>
      </c>
      <c r="C191" s="22">
        <v>3.1741176470588237</v>
      </c>
      <c r="D191" s="22">
        <v>3.0890909090909093</v>
      </c>
      <c r="E191" s="22">
        <v>3.1714285714285713</v>
      </c>
      <c r="F191" s="22">
        <v>3.8145454545454545</v>
      </c>
      <c r="G191" s="28">
        <v>3.2368411000763944</v>
      </c>
      <c r="H191" s="29">
        <v>3.25</v>
      </c>
    </row>
    <row r="192" spans="1:8" x14ac:dyDescent="0.6">
      <c r="A192" s="30">
        <v>45627</v>
      </c>
      <c r="B192" s="22">
        <v>3.5529166666666669</v>
      </c>
      <c r="C192" s="22">
        <v>3.2129411764705882</v>
      </c>
      <c r="D192" s="22">
        <v>3.1783333333333332</v>
      </c>
      <c r="E192" s="22">
        <v>3.3033333333333332</v>
      </c>
      <c r="F192" s="22">
        <v>3.5822727272727266</v>
      </c>
      <c r="G192" s="28">
        <v>3.3118811274509801</v>
      </c>
      <c r="H192" s="29">
        <v>3</v>
      </c>
    </row>
    <row r="193" spans="1:8" x14ac:dyDescent="0.6">
      <c r="A193" s="30">
        <v>45658</v>
      </c>
      <c r="B193" s="22">
        <v>3.274285714285714</v>
      </c>
      <c r="C193" s="22">
        <v>3.027058823529412</v>
      </c>
      <c r="D193" s="22">
        <v>2.9824999999999999</v>
      </c>
      <c r="E193" s="22">
        <v>3.0471428571428567</v>
      </c>
      <c r="F193" s="22">
        <v>3.4390909090909076</v>
      </c>
      <c r="G193" s="28">
        <v>3.0827468487394958</v>
      </c>
      <c r="H193" s="29">
        <v>3</v>
      </c>
    </row>
    <row r="194" spans="1:8" x14ac:dyDescent="0.35">
      <c r="A194" s="30">
        <v>45689</v>
      </c>
      <c r="B194" s="22">
        <v>3.0926086956521739</v>
      </c>
      <c r="C194" s="22">
        <v>2.8594117647058823</v>
      </c>
      <c r="D194" s="22">
        <v>2.8958333333333335</v>
      </c>
      <c r="E194" s="22">
        <v>2.89</v>
      </c>
      <c r="F194" s="22">
        <v>3.228181818181818</v>
      </c>
      <c r="G194" s="22">
        <v>2.9932071223746419</v>
      </c>
      <c r="H194" s="29">
        <v>2.75</v>
      </c>
    </row>
    <row r="195" spans="1:8" x14ac:dyDescent="0.35">
      <c r="A195" s="30">
        <v>45717</v>
      </c>
      <c r="B195" s="22">
        <v>3.0009090909090905</v>
      </c>
      <c r="C195" s="22">
        <v>2.7652941176470591</v>
      </c>
      <c r="D195" s="22">
        <v>2.855</v>
      </c>
      <c r="E195" s="22">
        <v>2.8557142857142859</v>
      </c>
      <c r="F195" s="22">
        <v>3.0485714285714285</v>
      </c>
      <c r="G195" s="22">
        <v>2.9050977845683725</v>
      </c>
      <c r="H195" s="29">
        <v>2.75</v>
      </c>
    </row>
    <row r="196" spans="1:8" x14ac:dyDescent="0.35">
      <c r="A196" s="30">
        <v>45748</v>
      </c>
      <c r="B196" s="22">
        <v>3.0123809523809522</v>
      </c>
      <c r="C196" s="22">
        <v>2.7370588235294124</v>
      </c>
      <c r="D196" s="22">
        <v>2.8016666666666663</v>
      </c>
      <c r="E196" s="22">
        <v>2.8228571428571425</v>
      </c>
      <c r="F196" s="22">
        <v>3.0100000000000002</v>
      </c>
      <c r="G196" s="22">
        <v>2.8767927170868344</v>
      </c>
      <c r="H196" s="29">
        <v>2.75</v>
      </c>
    </row>
    <row r="197" spans="1:8" x14ac:dyDescent="0.35">
      <c r="A197" s="30">
        <v>45778</v>
      </c>
      <c r="B197" s="22">
        <v>2.8440909090909092</v>
      </c>
      <c r="C197" s="22">
        <v>2.5305882352941178</v>
      </c>
      <c r="D197" s="22">
        <v>2.6575000000000002</v>
      </c>
      <c r="E197" s="22">
        <v>2.6799999999999997</v>
      </c>
      <c r="F197" s="22">
        <v>2.9894736842105267</v>
      </c>
      <c r="G197" s="22">
        <v>2.7403305657191108</v>
      </c>
      <c r="H197" s="29">
        <v>2.75</v>
      </c>
    </row>
    <row r="198" spans="1:8" x14ac:dyDescent="0.35">
      <c r="A198" s="30">
        <v>45809</v>
      </c>
      <c r="B198" s="22">
        <v>2.83</v>
      </c>
      <c r="C198" s="22">
        <v>2.44</v>
      </c>
      <c r="D198" s="22">
        <v>2.65</v>
      </c>
      <c r="E198" s="22">
        <v>2.69</v>
      </c>
      <c r="F198" s="22">
        <v>3.09</v>
      </c>
      <c r="G198" s="22">
        <v>2.7399999999999998</v>
      </c>
      <c r="H198" s="29">
        <v>2.5</v>
      </c>
    </row>
    <row r="199" spans="1:8" x14ac:dyDescent="0.6">
      <c r="A199" s="30">
        <v>45839</v>
      </c>
      <c r="B199" s="22">
        <v>2.8586363636363639</v>
      </c>
      <c r="C199" s="22">
        <v>2.4688235294117646</v>
      </c>
      <c r="D199" s="22">
        <v>2.6058333333333334</v>
      </c>
      <c r="E199" s="22">
        <v>2.6</v>
      </c>
      <c r="F199" s="22">
        <v>3.15</v>
      </c>
      <c r="G199" s="28">
        <v>2.6333233065953654</v>
      </c>
      <c r="H199" s="29">
        <v>2.5</v>
      </c>
    </row>
    <row r="200" spans="1:8" x14ac:dyDescent="0.6">
      <c r="A200" s="30">
        <v>45870</v>
      </c>
      <c r="B200" s="22">
        <v>2.8395454545454544</v>
      </c>
      <c r="C200" s="22">
        <v>2.4711764705882353</v>
      </c>
      <c r="D200" s="22">
        <v>2.5933333333333333</v>
      </c>
      <c r="E200" s="22">
        <v>2.5657142857142858</v>
      </c>
      <c r="F200" s="22">
        <v>3.1247619047619044</v>
      </c>
      <c r="G200" s="28">
        <v>2.6174423860453273</v>
      </c>
      <c r="H200" s="29">
        <v>2.5</v>
      </c>
    </row>
    <row r="201" spans="1:8" x14ac:dyDescent="0.6">
      <c r="A201" s="30">
        <v>45901</v>
      </c>
      <c r="B201" s="22">
        <v>2.8245454545454547</v>
      </c>
      <c r="C201" s="22">
        <v>2.48</v>
      </c>
      <c r="D201" s="22">
        <v>2.563333333333333</v>
      </c>
      <c r="E201" s="22">
        <v>2.5542857142857143</v>
      </c>
      <c r="F201" s="22">
        <v>3.1328571428571426</v>
      </c>
      <c r="G201" s="28">
        <v>2.6055411255411256</v>
      </c>
      <c r="H201" s="31">
        <v>2.5</v>
      </c>
    </row>
    <row r="202" spans="1:8" x14ac:dyDescent="0.6">
      <c r="A202" s="32">
        <v>45931</v>
      </c>
      <c r="B202" s="22">
        <v>2.8954545454545459</v>
      </c>
      <c r="C202" s="22">
        <v>2.48</v>
      </c>
      <c r="D202" s="22">
        <v>2.5584615384615383</v>
      </c>
      <c r="E202" s="22">
        <v>2.6542857142857139</v>
      </c>
      <c r="F202" s="22">
        <v>3.1294999999999997</v>
      </c>
      <c r="G202" s="28">
        <v>2.6470504495504494</v>
      </c>
      <c r="H202" s="29">
        <v>2.5</v>
      </c>
    </row>
    <row r="203" spans="1:8" x14ac:dyDescent="0.6">
      <c r="A203" s="32">
        <v>45962</v>
      </c>
      <c r="B203" s="22">
        <v>2.9704761904761909</v>
      </c>
      <c r="C203" s="22">
        <v>2.5976470588235294</v>
      </c>
      <c r="D203" s="22">
        <v>2.6092857142857149</v>
      </c>
      <c r="E203" s="22">
        <v>2.64</v>
      </c>
      <c r="F203" s="22">
        <v>2.9004761904761902</v>
      </c>
      <c r="G203" s="28">
        <v>2.7043522408963589</v>
      </c>
      <c r="H203" s="31">
        <v>2.5</v>
      </c>
    </row>
    <row r="204" spans="1:8" x14ac:dyDescent="0.6">
      <c r="A204" s="33">
        <v>45992</v>
      </c>
      <c r="B204" s="22">
        <v>3.2347619047619052</v>
      </c>
      <c r="C204" s="22">
        <v>2.9270588235294115</v>
      </c>
      <c r="D204" s="22">
        <v>2.7664285714285719</v>
      </c>
      <c r="E204" s="22">
        <v>3.1014285714285714</v>
      </c>
      <c r="F204" s="22">
        <v>3.0539999999999998</v>
      </c>
      <c r="G204" s="28">
        <v>3.0074194677871153</v>
      </c>
      <c r="H204" s="31">
        <v>2.5</v>
      </c>
    </row>
    <row r="205" spans="1:8" x14ac:dyDescent="0.6">
      <c r="A205" s="33">
        <v>46023</v>
      </c>
      <c r="B205" s="22">
        <v>3.1704761904761902</v>
      </c>
      <c r="C205" s="22">
        <v>2.8353333333333333</v>
      </c>
      <c r="D205" s="22">
        <v>2.7492857142857146</v>
      </c>
      <c r="E205" s="22">
        <v>3.0166666666666662</v>
      </c>
      <c r="F205" s="22">
        <v>3.0219047619047625</v>
      </c>
      <c r="G205" s="28">
        <v>2.9429404761904756</v>
      </c>
      <c r="H205" s="31">
        <v>2.5</v>
      </c>
    </row>
    <row r="206" spans="1:8" x14ac:dyDescent="0.6">
      <c r="A206" s="33">
        <v>46054</v>
      </c>
      <c r="B206" s="22">
        <v>3.1738095238095241</v>
      </c>
      <c r="C206" s="22">
        <v>2.8670588235294123</v>
      </c>
      <c r="D206" s="22">
        <v>2.8315384615384613</v>
      </c>
      <c r="E206" s="22">
        <v>2.9042857142857139</v>
      </c>
      <c r="F206" s="22">
        <v>3.1295238095238096</v>
      </c>
      <c r="G206" s="28">
        <v>2.9441731307907775</v>
      </c>
      <c r="H206" s="31">
        <v>2.5</v>
      </c>
    </row>
    <row r="207" spans="1:8" x14ac:dyDescent="0.6">
      <c r="A207" s="33">
        <v>46082</v>
      </c>
      <c r="B207" s="22">
        <v>3.2271428571428578</v>
      </c>
      <c r="C207" s="22">
        <v>2.9258823529411768</v>
      </c>
      <c r="D207" s="22">
        <v>2.8135714285714291</v>
      </c>
      <c r="E207" s="22">
        <v>3.1357142857142861</v>
      </c>
      <c r="F207" s="22">
        <v>3.4153333333333333</v>
      </c>
      <c r="G207" s="28">
        <v>3.0255777310924374</v>
      </c>
      <c r="H207" s="31">
        <v>2.5</v>
      </c>
    </row>
    <row r="208" spans="1:8" x14ac:dyDescent="0.6">
      <c r="A208" s="33">
        <v>46113</v>
      </c>
      <c r="B208" s="22">
        <v>3.36095238095238</v>
      </c>
      <c r="C208" s="22">
        <v>2.9258823529411768</v>
      </c>
      <c r="D208" s="22">
        <v>2.8135714285714291</v>
      </c>
      <c r="E208" s="22">
        <v>3.1357142857142861</v>
      </c>
      <c r="F208" s="22">
        <v>3.4095238095238098</v>
      </c>
      <c r="G208" s="28">
        <v>3.0590301120448178</v>
      </c>
      <c r="H208" s="31">
        <v>2.5</v>
      </c>
    </row>
    <row r="209" spans="1:8" x14ac:dyDescent="0.6">
      <c r="A209" s="33">
        <v>46143</v>
      </c>
      <c r="B209" s="22">
        <v>3.3466666666666676</v>
      </c>
      <c r="C209" s="22">
        <v>2.9258823529411768</v>
      </c>
      <c r="D209" s="22">
        <v>2.8135714285714291</v>
      </c>
      <c r="E209" s="22">
        <v>3.1357142857142861</v>
      </c>
      <c r="F209" s="22">
        <v>3.4447619047619051</v>
      </c>
      <c r="G209" s="28">
        <v>3.0554586834733897</v>
      </c>
      <c r="H209" s="31">
        <v>2.5</v>
      </c>
    </row>
    <row r="210" spans="1:8" x14ac:dyDescent="0.6">
      <c r="A210" s="33">
        <v>46174</v>
      </c>
      <c r="B210" s="22">
        <v>3.6642857142857137</v>
      </c>
      <c r="C210" s="22">
        <v>2.9258823529411768</v>
      </c>
      <c r="D210" s="22">
        <v>2.8135714285714291</v>
      </c>
      <c r="E210" s="22">
        <v>3.1357142857142861</v>
      </c>
      <c r="F210" s="22">
        <v>3.6276190476190471</v>
      </c>
      <c r="G210" s="28">
        <v>3.1348634453781514</v>
      </c>
      <c r="H210" s="31">
        <v>2.5</v>
      </c>
    </row>
    <row r="211" spans="1:8" x14ac:dyDescent="0.6">
      <c r="A211" s="33">
        <v>46204</v>
      </c>
      <c r="B211" s="22">
        <v>3.8252380952380944</v>
      </c>
      <c r="C211" s="22">
        <v>2.9258823529411768</v>
      </c>
      <c r="D211" s="22">
        <v>2.8135714285714291</v>
      </c>
      <c r="E211" s="22">
        <v>3.1357142857142861</v>
      </c>
      <c r="F211" s="22">
        <v>4.1104761904761897</v>
      </c>
      <c r="G211" s="28">
        <v>3.1751015406162466</v>
      </c>
      <c r="H211" s="31">
        <v>2.5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황고운</dc:creator>
  <cp:lastModifiedBy>Goun Hwang</cp:lastModifiedBy>
  <dcterms:created xsi:type="dcterms:W3CDTF">2026-07-14T05:45:02Z</dcterms:created>
  <dcterms:modified xsi:type="dcterms:W3CDTF">2026-07-17T10:44:02Z</dcterms:modified>
</cp:coreProperties>
</file>